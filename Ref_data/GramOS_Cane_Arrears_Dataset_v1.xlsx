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ills" sheetId="2" state="visible" r:id="rId4"/>
    <sheet name="Catchment" sheetId="3" state="visible" r:id="rId5"/>
    <sheet name="Exposure" sheetId="4" state="visible" r:id="rId6"/>
    <sheet name="Field_Notes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<sst xmlns="http://schemas.openxmlformats.org/spreadsheetml/2006/main" count="204" uniqueCount="172">
  <si>
    <t xml:space="preserve">GramOS — Cane Catchment Credit Stress Dataset</t>
  </si>
  <si>
    <t xml:space="preserve">Karnataka sugar mill payment arrears as a leading indicator of rural borrower cash-flow stress</t>
  </si>
  <si>
    <t xml:space="preserve">HOW TO USE THIS WORKBOOK</t>
  </si>
  <si>
    <t xml:space="preserve">Tab</t>
  </si>
  <si>
    <t xml:space="preserve">What it is / what you do</t>
  </si>
  <si>
    <t xml:space="preserve">Mills</t>
  </si>
  <si>
    <t xml:space="preserve">PRIMARY DATA ENTRY. One row per mill per season. Fill the yellow columns from the sources listed in 'Sources'. Grey columns are formulas — do not type in them.</t>
  </si>
  <si>
    <t xml:space="preserve">Catchment</t>
  </si>
  <si>
    <t xml:space="preserve">Which taluks each mill draws cane from, and roughly what share. Fill from local knowledge + district factory list. This is the part nobody else has.</t>
  </si>
  <si>
    <t xml:space="preserve">Exposure</t>
  </si>
  <si>
    <t xml:space="preserve">OUTPUT. Auto-computed taluk-level arrears exposure. This is what goes into the two-page report and into GramOS as buyer_payment_risk.</t>
  </si>
  <si>
    <t xml:space="preserve">Field_Notes</t>
  </si>
  <si>
    <t xml:space="preserve">Interview log from village conversations. Captures the lag between mill delay and loan delinquency. NO NAMES — see the PII rule on that tab.</t>
  </si>
  <si>
    <t xml:space="preserve">Sources</t>
  </si>
  <si>
    <t xml:space="preserve">Provenance log. Every figure in 'Mills' must point to a source_id here. Non-negotiable if a lender ever asks where a number came from.</t>
  </si>
  <si>
    <t xml:space="preserve">COLOUR CODE</t>
  </si>
  <si>
    <t xml:space="preserve">Yellow fill</t>
  </si>
  <si>
    <t xml:space="preserve">You fill this in by hand</t>
  </si>
  <si>
    <t xml:space="preserve">Grey fill</t>
  </si>
  <si>
    <t xml:space="preserve">Formula — leave alone</t>
  </si>
  <si>
    <t xml:space="preserve">Cream fill</t>
  </si>
  <si>
    <t xml:space="preserve">EXAMPLE ROW — shows expected format. Delete before sharing the file.</t>
  </si>
  <si>
    <t xml:space="preserve">Blue text</t>
  </si>
  <si>
    <t xml:space="preserve">Hardcoded input / assumption you can change</t>
  </si>
  <si>
    <t xml:space="preserve">SCOPE FOR VERSION 1</t>
  </si>
  <si>
    <t xml:space="preserve">Districts</t>
  </si>
  <si>
    <t xml:space="preserve">Belagavi, Bagalkot, Vijayapura, Kalaburagi (extend later)</t>
  </si>
  <si>
    <t xml:space="preserve">Season</t>
  </si>
  <si>
    <t xml:space="preserve">2025-26 first. Add earlier seasons only once v1 is done.</t>
  </si>
  <si>
    <t xml:space="preserve">10-15 is enough to write the report. Do NOT try to do all 81 first.</t>
  </si>
  <si>
    <t xml:space="preserve">Stop rule</t>
  </si>
  <si>
    <t xml:space="preserve">If a figure is not findable in 15 minutes, leave it blank, note it, move on.</t>
  </si>
  <si>
    <t xml:space="preserve">Mill-level cane dues and arrears</t>
  </si>
  <si>
    <t xml:space="preserve">One row per mill per season. Source every figure via source_id. Amounts in Rs crore unless stated.</t>
  </si>
  <si>
    <t xml:space="preserve">mill_id</t>
  </si>
  <si>
    <t xml:space="preserve">mill_name</t>
  </si>
  <si>
    <t xml:space="preserve">sector</t>
  </si>
  <si>
    <t xml:space="preserve">district</t>
  </si>
  <si>
    <t xml:space="preserve">taluk_hq</t>
  </si>
  <si>
    <t xml:space="preserve">season</t>
  </si>
  <si>
    <t xml:space="preserve">cane_crushed_MT</t>
  </si>
  <si>
    <t xml:space="preserve">dues_payable_cr</t>
  </si>
  <si>
    <t xml:space="preserve">dues_paid_cr</t>
  </si>
  <si>
    <t xml:space="preserve">outstanding_cr</t>
  </si>
  <si>
    <t xml:space="preserve">arrears_pct</t>
  </si>
  <si>
    <t xml:space="preserve">as_of_date</t>
  </si>
  <si>
    <t xml:space="preserve">source_id</t>
  </si>
  <si>
    <t xml:space="preserve">confidence</t>
  </si>
  <si>
    <t xml:space="preserve">notes</t>
  </si>
  <si>
    <t xml:space="preserve">M001</t>
  </si>
  <si>
    <t xml:space="preserve">[EXAMPLE] Shri Renuka Sugars - Munoli</t>
  </si>
  <si>
    <t xml:space="preserve">Private</t>
  </si>
  <si>
    <t xml:space="preserve">Belagavi</t>
  </si>
  <si>
    <t xml:space="preserve">Saundatti</t>
  </si>
  <si>
    <t xml:space="preserve">2025-26</t>
  </si>
  <si>
    <t xml:space="preserve">2026-03-31</t>
  </si>
  <si>
    <t xml:space="preserve">S01</t>
  </si>
  <si>
    <t xml:space="preserve">Medium</t>
  </si>
  <si>
    <t xml:space="preserve">Figures illustrative only - replace with sourced values</t>
  </si>
  <si>
    <t xml:space="preserve">TOTAL</t>
  </si>
  <si>
    <t xml:space="preserve">Note: totals exclude the example row. 'confidence' = High if from the Directorate/official release, Medium if from a dated news report, Low if inferred.</t>
  </si>
  <si>
    <t xml:space="preserve">Mill catchment mapping</t>
  </si>
  <si>
    <t xml:space="preserve">Which taluks supply cane to which mill, and roughly what share. Local knowledge beats any dataset here — verify with growers.</t>
  </si>
  <si>
    <t xml:space="preserve">link_id</t>
  </si>
  <si>
    <t xml:space="preserve">taluk</t>
  </si>
  <si>
    <t xml:space="preserve">share_weight</t>
  </si>
  <si>
    <t xml:space="preserve">basis</t>
  </si>
  <si>
    <t xml:space="preserve">mill_outstanding_cr</t>
  </si>
  <si>
    <t xml:space="preserve">weighted_exposure_cr</t>
  </si>
  <si>
    <t xml:space="preserve">L001</t>
  </si>
  <si>
    <t xml:space="preserve">High</t>
  </si>
  <si>
    <t xml:space="preserve">Grower interview + distance to mill</t>
  </si>
  <si>
    <t xml:space="preserve">[EXAMPLE ROW - delete]</t>
  </si>
  <si>
    <t xml:space="preserve">share_weight = rough share of that taluk's cane going to this mill (0 to 1). Taluk weights need not sum to 1 across mills — approximate is fine for v1.</t>
  </si>
  <si>
    <t xml:space="preserve">Taluk-level buyer payment stress (OUTPUT)</t>
  </si>
  <si>
    <t xml:space="preserve">This is the table that goes into the district report and feeds buyer_payment_risk in GramOS.</t>
  </si>
  <si>
    <t xml:space="preserve">THRESHOLDS (editable)</t>
  </si>
  <si>
    <t xml:space="preserve">HIGH if weighted exposure &gt;= (Rs cr)</t>
  </si>
  <si>
    <t xml:space="preserve">MEDIUM if weighted exposure &gt;= (Rs cr)</t>
  </si>
  <si>
    <t xml:space="preserve">Thresholds are placeholders until calibrated against a real loan book. Document any change in the provenance note.</t>
  </si>
  <si>
    <t xml:space="preserve">n_mills</t>
  </si>
  <si>
    <t xml:space="preserve">stress_flag</t>
  </si>
  <si>
    <t xml:space="preserve">Row 10 (cream) is a worked example driven by the example rows in Mills and Catchment — it shows the chain computing end to end. Delete all three example rows before sharing.</t>
  </si>
  <si>
    <t xml:space="preserve">Grower interview log — mill delay to loan delinquency lag</t>
  </si>
  <si>
    <t xml:space="preserve">PII RULE: record NO names, phone numbers, account numbers, survey numbers or exact addresses. Village + taluk only. This is the line that keeps the dataset shareable.</t>
  </si>
  <si>
    <t xml:space="preserve">note_id</t>
  </si>
  <si>
    <t xml:space="preserve">date</t>
  </si>
  <si>
    <t xml:space="preserve">village</t>
  </si>
  <si>
    <t xml:space="preserve">delay_months</t>
  </si>
  <si>
    <t xml:space="preserve">bridge_action</t>
  </si>
  <si>
    <t xml:space="preserve">missed_loan_emi</t>
  </si>
  <si>
    <t xml:space="preserve">lag_months_delay_to_miss</t>
  </si>
  <si>
    <t xml:space="preserve">lender_type</t>
  </si>
  <si>
    <t xml:space="preserve">lender_knew_reason</t>
  </si>
  <si>
    <t xml:space="preserve">N001</t>
  </si>
  <si>
    <t xml:space="preserve">2026-08-02</t>
  </si>
  <si>
    <t xml:space="preserve">[EXAMPLE] village name</t>
  </si>
  <si>
    <t xml:space="preserve">Gold loan</t>
  </si>
  <si>
    <t xml:space="preserve">Yes</t>
  </si>
  <si>
    <t xml:space="preserve">RRB</t>
  </si>
  <si>
    <t xml:space="preserve">No</t>
  </si>
  <si>
    <t xml:space="preserve">Bank saw a missed EMI, not the cause</t>
  </si>
  <si>
    <t xml:space="preserve">SUMMARY</t>
  </si>
  <si>
    <t xml:space="preserve">Interviews logged</t>
  </si>
  <si>
    <t xml:space="preserve">Median lag, mill delay to missed EMI (months)</t>
  </si>
  <si>
    <t xml:space="preserve">Share who missed an EMI</t>
  </si>
  <si>
    <t xml:space="preserve">The median lag is the single number that calibrates buyer_payment_risk. Ten honest interviews beat a guessed parameter.</t>
  </si>
  <si>
    <t xml:space="preserve">Provenance log</t>
  </si>
  <si>
    <t xml:space="preserve">Every figure in Mills must cite a source_id here. Save a dated PDF/screenshot snapshot of each source alongside this file.</t>
  </si>
  <si>
    <t xml:space="preserve">source_name</t>
  </si>
  <si>
    <t xml:space="preserve">publisher</t>
  </si>
  <si>
    <t xml:space="preserve">url</t>
  </si>
  <si>
    <t xml:space="preserve">data_taken</t>
  </si>
  <si>
    <t xml:space="preserve">period_covered</t>
  </si>
  <si>
    <t xml:space="preserve">date_accessed</t>
  </si>
  <si>
    <t xml:space="preserve">access_method</t>
  </si>
  <si>
    <t xml:space="preserve">tier</t>
  </si>
  <si>
    <t xml:space="preserve">snapshot_saved</t>
  </si>
  <si>
    <t xml:space="preserve">Directorate of Sugarcane Development &amp; Sugar (Cane Commissionerate)</t>
  </si>
  <si>
    <t xml:space="preserve">Government of Karnataka</t>
  </si>
  <si>
    <t xml:space="preserve">https://canecommissionarate.karnataka.gov.in/english</t>
  </si>
  <si>
    <t xml:space="preserve">District-wise factory list, sector-wise list, season crushing &amp; payment statements</t>
  </si>
  <si>
    <t xml:space="preserve">Manual browse (site blocks automated access)</t>
  </si>
  <si>
    <t xml:space="preserve">Tier 1 — primary</t>
  </si>
  <si>
    <t xml:space="preserve">Start here. Also the office to file an RTI with.</t>
  </si>
  <si>
    <t xml:space="preserve">S02</t>
  </si>
  <si>
    <t xml:space="preserve">District-wise Sugar Factory List</t>
  </si>
  <si>
    <t xml:space="preserve">https://canecommissionarate.karnataka.gov.in/page/List++of+Factories/District+Wise+Sugar+Factory+List/en</t>
  </si>
  <si>
    <t xml:space="preserve">Mill names, districts, sector (coop/private/public)</t>
  </si>
  <si>
    <t xml:space="preserve">Manual browse</t>
  </si>
  <si>
    <t xml:space="preserve">Use this to build the mill_id master list first.</t>
  </si>
  <si>
    <t xml:space="preserve">S03</t>
  </si>
  <si>
    <t xml:space="preserve">Deccan Herald — Karnataka cane dues reporting</t>
  </si>
  <si>
    <t xml:space="preserve">Deccan Herald</t>
  </si>
  <si>
    <t xml:space="preserve">https://www.deccanherald.com/amp/story/business%2Fsugar-mills-owe-rs-4390-crore-to-farmers-in-karnataka-for-2025-26-season-3864991</t>
  </si>
  <si>
    <t xml:space="preserve">State totals 2025-26: Rs 12,397.33 cr payable, Rs 8,058.43 cr paid, Rs 4,390.35 cr outstanding as on 31-Dec-2025; 312.61 lakh MT crushed; 81 factories</t>
  </si>
  <si>
    <t xml:space="preserve">2025-26 season</t>
  </si>
  <si>
    <t xml:space="preserve">2026-07-31</t>
  </si>
  <si>
    <t xml:space="preserve">Web</t>
  </si>
  <si>
    <t xml:space="preserve">Tier 2 — press citing Tier 1</t>
  </si>
  <si>
    <t xml:space="preserve">Figures attributed to the Commissioner for Cane Development. Good cross-check for your state total.</t>
  </si>
  <si>
    <t xml:space="preserve">S04</t>
  </si>
  <si>
    <t xml:space="preserve">ChiniMandi</t>
  </si>
  <si>
    <t xml:space="preserve">https://www.chinimandi.com/</t>
  </si>
  <si>
    <t xml:space="preserve">Mill-level payment news, Cane Commissioner hearings and deadlines, FRP notifications</t>
  </si>
  <si>
    <t xml:space="preserve">Tier 2 — trade press</t>
  </si>
  <si>
    <t xml:space="preserve">Best source for enforcement events (deadlines, hearings, stock seizures).</t>
  </si>
  <si>
    <t xml:space="preserve">S05</t>
  </si>
  <si>
    <t xml:space="preserve">ISMA — Indian Sugar Mills Association</t>
  </si>
  <si>
    <t xml:space="preserve">ISMA</t>
  </si>
  <si>
    <t xml:space="preserve">https://www.indiansugar.com/</t>
  </si>
  <si>
    <t xml:space="preserve">Mill-wise crushing and recovery data, season reports</t>
  </si>
  <si>
    <t xml:space="preserve">Tier 2 — industry body</t>
  </si>
  <si>
    <t xml:space="preserve">Good for cane_crushed_MT where the Directorate is silent.</t>
  </si>
  <si>
    <t xml:space="preserve">S06</t>
  </si>
  <si>
    <t xml:space="preserve">NFCSF — National Federation of Cooperative Sugar Factories</t>
  </si>
  <si>
    <t xml:space="preserve">NFCSF</t>
  </si>
  <si>
    <t xml:space="preserve">https://nfcsf.com/</t>
  </si>
  <si>
    <t xml:space="preserve">Cooperative mill data</t>
  </si>
  <si>
    <t xml:space="preserve">Covers the cooperative mills, which are often the worst payers.</t>
  </si>
  <si>
    <t xml:space="preserve">S07</t>
  </si>
  <si>
    <t xml:space="preserve">DFPD, Ministry of Consumer Affairs, Food &amp; Public Distribution</t>
  </si>
  <si>
    <t xml:space="preserve">Government of India</t>
  </si>
  <si>
    <t xml:space="preserve">https://dfpd.gov.in/</t>
  </si>
  <si>
    <t xml:space="preserve">State-wise cane dues payable vs paid, FRP notifications</t>
  </si>
  <si>
    <t xml:space="preserve">Tier 1 — primary (national)</t>
  </si>
  <si>
    <t xml:space="preserve">State-level only, but authoritative and useful for framing.</t>
  </si>
  <si>
    <t xml:space="preserve">S08</t>
  </si>
  <si>
    <t xml:space="preserve">RTI application — Cane Commissionerate, Bengaluru</t>
  </si>
  <si>
    <t xml:space="preserve">Mill-wise dues payable / paid / outstanding by season, if not published</t>
  </si>
  <si>
    <t xml:space="preserve">RTI</t>
  </si>
  <si>
    <t xml:space="preserve">File early: ~30 day response. A filed RTI is itself credible in a pitch.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</si>
</sst>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.0"/>
    <numFmt numFmtId="167" formatCode="0.0%"/>
    <numFmt numFmtId="168" formatCode="0.00"/>
    <numFmt numFmtId="169" formatCode="General"/>
    <numFmt numFmtId="170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  <c r="B3" s="4"/>
    </row>
    <row r="4" customFormat="false" ht="15" hidden="false" customHeight="false" outlineLevel="0" collapsed="false">
      <c r="A4" s="5" t="s">
        <v>2</v>
      </c>
      <c r="B4" s="6"/>
    </row>
    <row r="5" customFormat="false" ht="15" hidden="false" customHeight="false" outlineLevel="0" collapsed="false">
      <c r="A5" s="7" t="s">
        <v>3</v>
      </c>
      <c r="B5" s="8" t="s">
        <v>4</v>
      </c>
    </row>
    <row r="6" customFormat="false" ht="23.85" hidden="false" customHeight="false" outlineLevel="0" collapsed="false">
      <c r="A6" s="3" t="s">
        <v>5</v>
      </c>
      <c r="B6" s="4" t="s">
        <v>6</v>
      </c>
    </row>
    <row r="7" customFormat="false" ht="23.85" hidden="false" customHeight="false" outlineLevel="0" collapsed="false">
      <c r="A7" s="3" t="s">
        <v>7</v>
      </c>
      <c r="B7" s="4" t="s">
        <v>8</v>
      </c>
    </row>
    <row r="8" customFormat="false" ht="23.85" hidden="false" customHeight="false" outlineLevel="0" collapsed="false">
      <c r="A8" s="3" t="s">
        <v>9</v>
      </c>
      <c r="B8" s="4" t="s">
        <v>10</v>
      </c>
    </row>
    <row r="9" customFormat="false" ht="23.85" hidden="false" customHeight="false" outlineLevel="0" collapsed="false">
      <c r="A9" s="3" t="s">
        <v>11</v>
      </c>
      <c r="B9" s="4" t="s">
        <v>12</v>
      </c>
    </row>
    <row r="10" customFormat="false" ht="23.85" hidden="false" customHeight="false" outlineLevel="0" collapsed="false">
      <c r="A10" s="3" t="s">
        <v>13</v>
      </c>
      <c r="B10" s="4" t="s">
        <v>14</v>
      </c>
    </row>
    <row r="11" customFormat="false" ht="15" hidden="false" customHeight="false" outlineLevel="0" collapsed="false">
      <c r="A11" s="3"/>
      <c r="B11" s="4"/>
    </row>
    <row r="12" customFormat="false" ht="15" hidden="false" customHeight="false" outlineLevel="0" collapsed="false">
      <c r="A12" s="5" t="s">
        <v>15</v>
      </c>
      <c r="B12" s="6"/>
    </row>
    <row r="13" customFormat="false" ht="15" hidden="false" customHeight="false" outlineLevel="0" collapsed="false">
      <c r="A13" s="3" t="s">
        <v>16</v>
      </c>
      <c r="B13" s="4" t="s">
        <v>17</v>
      </c>
    </row>
    <row r="14" customFormat="false" ht="15" hidden="false" customHeight="false" outlineLevel="0" collapsed="false">
      <c r="A14" s="3" t="s">
        <v>18</v>
      </c>
      <c r="B14" s="4" t="s">
        <v>19</v>
      </c>
    </row>
    <row r="15" customFormat="false" ht="15" hidden="false" customHeight="false" outlineLevel="0" collapsed="false">
      <c r="A15" s="3" t="s">
        <v>20</v>
      </c>
      <c r="B15" s="4" t="s">
        <v>21</v>
      </c>
    </row>
    <row r="16" customFormat="false" ht="15" hidden="false" customHeight="false" outlineLevel="0" collapsed="false">
      <c r="A16" s="3" t="s">
        <v>22</v>
      </c>
      <c r="B16" s="4" t="s">
        <v>23</v>
      </c>
    </row>
    <row r="17" customFormat="false" ht="15" hidden="false" customHeight="false" outlineLevel="0" collapsed="false">
      <c r="A17" s="3"/>
      <c r="B17" s="4"/>
    </row>
    <row r="18" customFormat="false" ht="15" hidden="false" customHeight="false" outlineLevel="0" collapsed="false">
      <c r="A18" s="5" t="s">
        <v>24</v>
      </c>
      <c r="B18" s="6"/>
    </row>
    <row r="19" customFormat="false" ht="15" hidden="false" customHeight="false" outlineLevel="0" collapsed="false">
      <c r="A19" s="3" t="s">
        <v>25</v>
      </c>
      <c r="B19" s="4" t="s">
        <v>26</v>
      </c>
    </row>
    <row r="20" customFormat="false" ht="15" hidden="false" customHeight="false" outlineLevel="0" collapsed="false">
      <c r="A20" s="3" t="s">
        <v>27</v>
      </c>
      <c r="B20" s="4" t="s">
        <v>28</v>
      </c>
    </row>
    <row r="21" customFormat="false" ht="15" hidden="false" customHeight="false" outlineLevel="0" collapsed="false">
      <c r="A21" s="3" t="s">
        <v>5</v>
      </c>
      <c r="B21" s="4" t="s">
        <v>29</v>
      </c>
    </row>
    <row r="22" customFormat="false" ht="15" hidden="false" customHeight="false" outlineLevel="0" collapsed="false">
      <c r="A22" s="3" t="s">
        <v>30</v>
      </c>
      <c r="B22" s="4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8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8" min="7" style="0" width="16"/>
    <col collapsed="false" customWidth="true" hidden="false" outlineLevel="0" max="10" min="9" style="0" width="15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40"/>
  </cols>
  <sheetData>
    <row r="1" customFormat="false" ht="16.1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33</v>
      </c>
    </row>
    <row r="4" customFormat="false" ht="30" hidden="false" customHeight="true" outlineLevel="0" collapsed="false">
      <c r="A4" s="9" t="s">
        <v>34</v>
      </c>
      <c r="B4" s="9" t="s">
        <v>35</v>
      </c>
      <c r="C4" s="9" t="s">
        <v>36</v>
      </c>
      <c r="D4" s="9" t="s">
        <v>37</v>
      </c>
      <c r="E4" s="9" t="s">
        <v>38</v>
      </c>
      <c r="F4" s="9" t="s">
        <v>39</v>
      </c>
      <c r="G4" s="9" t="s">
        <v>40</v>
      </c>
      <c r="H4" s="9" t="s">
        <v>41</v>
      </c>
      <c r="I4" s="9" t="s">
        <v>42</v>
      </c>
      <c r="J4" s="9" t="s">
        <v>43</v>
      </c>
      <c r="K4" s="9" t="s">
        <v>44</v>
      </c>
      <c r="L4" s="9" t="s">
        <v>45</v>
      </c>
      <c r="M4" s="9" t="s">
        <v>46</v>
      </c>
      <c r="N4" s="9" t="s">
        <v>47</v>
      </c>
      <c r="O4" s="9" t="s">
        <v>48</v>
      </c>
    </row>
    <row r="5" customFormat="false" ht="15" hidden="false" customHeight="false" outlineLevel="0" collapsed="false">
      <c r="A5" s="10" t="s">
        <v>49</v>
      </c>
      <c r="B5" s="10" t="s">
        <v>50</v>
      </c>
      <c r="C5" s="10" t="s">
        <v>51</v>
      </c>
      <c r="D5" s="10" t="s">
        <v>52</v>
      </c>
      <c r="E5" s="10" t="s">
        <v>53</v>
      </c>
      <c r="F5" s="10" t="s">
        <v>54</v>
      </c>
      <c r="G5" s="11" t="n">
        <v>1250000</v>
      </c>
      <c r="H5" s="12" t="n">
        <v>412.5</v>
      </c>
      <c r="I5" s="12" t="n">
        <v>268</v>
      </c>
      <c r="J5" s="12" t="n">
        <f aca="false">IFERROR(H5-I5,"")</f>
        <v>144.5</v>
      </c>
      <c r="K5" s="13" t="n">
        <f aca="false">IFERROR(J5/H5,"")</f>
        <v>0.35030303030303</v>
      </c>
      <c r="L5" s="10" t="s">
        <v>55</v>
      </c>
      <c r="M5" s="10" t="s">
        <v>56</v>
      </c>
      <c r="N5" s="10" t="s">
        <v>57</v>
      </c>
      <c r="O5" s="10" t="s">
        <v>58</v>
      </c>
    </row>
    <row r="6" customFormat="false" ht="15" hidden="false" customHeight="false" outlineLevel="0" collapsed="false">
      <c r="A6" s="14"/>
      <c r="B6" s="14"/>
      <c r="C6" s="14"/>
      <c r="D6" s="14"/>
      <c r="E6" s="14"/>
      <c r="F6" s="14"/>
      <c r="G6" s="15"/>
      <c r="H6" s="16"/>
      <c r="I6" s="16"/>
      <c r="J6" s="17" t="n">
        <f aca="false">IFERROR(H6-I6,"")</f>
        <v>0</v>
      </c>
      <c r="K6" s="18" t="str">
        <f aca="false">IFERROR(J6/H6,"")</f>
        <v/>
      </c>
      <c r="L6" s="14"/>
      <c r="M6" s="14"/>
      <c r="N6" s="14"/>
      <c r="O6" s="14"/>
    </row>
    <row r="7" customFormat="false" ht="15" hidden="false" customHeight="false" outlineLevel="0" collapsed="false">
      <c r="A7" s="14"/>
      <c r="B7" s="14"/>
      <c r="C7" s="14"/>
      <c r="D7" s="14"/>
      <c r="E7" s="14"/>
      <c r="F7" s="14"/>
      <c r="G7" s="15"/>
      <c r="H7" s="16"/>
      <c r="I7" s="16"/>
      <c r="J7" s="17" t="n">
        <f aca="false">IFERROR(H7-I7,"")</f>
        <v>0</v>
      </c>
      <c r="K7" s="18" t="str">
        <f aca="false">IFERROR(J7/H7,"")</f>
        <v/>
      </c>
      <c r="L7" s="14"/>
      <c r="M7" s="14"/>
      <c r="N7" s="14"/>
      <c r="O7" s="14"/>
    </row>
    <row r="8" customFormat="false" ht="15" hidden="false" customHeight="false" outlineLevel="0" collapsed="false">
      <c r="A8" s="14"/>
      <c r="B8" s="14"/>
      <c r="C8" s="14"/>
      <c r="D8" s="14"/>
      <c r="E8" s="14"/>
      <c r="F8" s="14"/>
      <c r="G8" s="15"/>
      <c r="H8" s="16"/>
      <c r="I8" s="16"/>
      <c r="J8" s="17" t="n">
        <f aca="false">IFERROR(H8-I8,"")</f>
        <v>0</v>
      </c>
      <c r="K8" s="18" t="str">
        <f aca="false">IFERROR(J8/H8,"")</f>
        <v/>
      </c>
      <c r="L8" s="14"/>
      <c r="M8" s="14"/>
      <c r="N8" s="14"/>
      <c r="O8" s="14"/>
    </row>
    <row r="9" customFormat="false" ht="15" hidden="false" customHeight="false" outlineLevel="0" collapsed="false">
      <c r="A9" s="14"/>
      <c r="B9" s="14"/>
      <c r="C9" s="14"/>
      <c r="D9" s="14"/>
      <c r="E9" s="14"/>
      <c r="F9" s="14"/>
      <c r="G9" s="15"/>
      <c r="H9" s="16"/>
      <c r="I9" s="16"/>
      <c r="J9" s="17" t="n">
        <f aca="false">IFERROR(H9-I9,"")</f>
        <v>0</v>
      </c>
      <c r="K9" s="18" t="str">
        <f aca="false">IFERROR(J9/H9,"")</f>
        <v/>
      </c>
      <c r="L9" s="14"/>
      <c r="M9" s="14"/>
      <c r="N9" s="14"/>
      <c r="O9" s="14"/>
    </row>
    <row r="10" customFormat="false" ht="15" hidden="false" customHeight="false" outlineLevel="0" collapsed="false">
      <c r="A10" s="14"/>
      <c r="B10" s="14"/>
      <c r="C10" s="14"/>
      <c r="D10" s="14"/>
      <c r="E10" s="14"/>
      <c r="F10" s="14"/>
      <c r="G10" s="15"/>
      <c r="H10" s="16"/>
      <c r="I10" s="16"/>
      <c r="J10" s="17" t="n">
        <f aca="false">IFERROR(H10-I10,"")</f>
        <v>0</v>
      </c>
      <c r="K10" s="18" t="str">
        <f aca="false">IFERROR(J10/H10,"")</f>
        <v/>
      </c>
      <c r="L10" s="14"/>
      <c r="M10" s="14"/>
      <c r="N10" s="14"/>
      <c r="O10" s="14"/>
    </row>
    <row r="11" customFormat="false" ht="15" hidden="false" customHeight="false" outlineLevel="0" collapsed="false">
      <c r="A11" s="14"/>
      <c r="B11" s="14"/>
      <c r="C11" s="14"/>
      <c r="D11" s="14"/>
      <c r="E11" s="14"/>
      <c r="F11" s="14"/>
      <c r="G11" s="15"/>
      <c r="H11" s="16"/>
      <c r="I11" s="16"/>
      <c r="J11" s="17" t="n">
        <f aca="false">IFERROR(H11-I11,"")</f>
        <v>0</v>
      </c>
      <c r="K11" s="18" t="str">
        <f aca="false">IFERROR(J11/H11,"")</f>
        <v/>
      </c>
      <c r="L11" s="14"/>
      <c r="M11" s="14"/>
      <c r="N11" s="14"/>
      <c r="O11" s="14"/>
    </row>
    <row r="12" customFormat="false" ht="15" hidden="false" customHeight="false" outlineLevel="0" collapsed="false">
      <c r="A12" s="14"/>
      <c r="B12" s="14"/>
      <c r="C12" s="14"/>
      <c r="D12" s="14"/>
      <c r="E12" s="14"/>
      <c r="F12" s="14"/>
      <c r="G12" s="15"/>
      <c r="H12" s="16"/>
      <c r="I12" s="16"/>
      <c r="J12" s="17" t="n">
        <f aca="false">IFERROR(H12-I12,"")</f>
        <v>0</v>
      </c>
      <c r="K12" s="18" t="str">
        <f aca="false">IFERROR(J12/H12,"")</f>
        <v/>
      </c>
      <c r="L12" s="14"/>
      <c r="M12" s="14"/>
      <c r="N12" s="14"/>
      <c r="O12" s="14"/>
    </row>
    <row r="13" customFormat="false" ht="15" hidden="false" customHeight="false" outlineLevel="0" collapsed="false">
      <c r="A13" s="14"/>
      <c r="B13" s="14"/>
      <c r="C13" s="14"/>
      <c r="D13" s="14"/>
      <c r="E13" s="14"/>
      <c r="F13" s="14"/>
      <c r="G13" s="15"/>
      <c r="H13" s="16"/>
      <c r="I13" s="16"/>
      <c r="J13" s="17" t="n">
        <f aca="false">IFERROR(H13-I13,"")</f>
        <v>0</v>
      </c>
      <c r="K13" s="18" t="str">
        <f aca="false">IFERROR(J13/H13,"")</f>
        <v/>
      </c>
      <c r="L13" s="14"/>
      <c r="M13" s="14"/>
      <c r="N13" s="14"/>
      <c r="O13" s="14"/>
    </row>
    <row r="14" customFormat="false" ht="15" hidden="false" customHeight="false" outlineLevel="0" collapsed="false">
      <c r="A14" s="14"/>
      <c r="B14" s="14"/>
      <c r="C14" s="14"/>
      <c r="D14" s="14"/>
      <c r="E14" s="14"/>
      <c r="F14" s="14"/>
      <c r="G14" s="15"/>
      <c r="H14" s="16"/>
      <c r="I14" s="16"/>
      <c r="J14" s="17" t="n">
        <f aca="false">IFERROR(H14-I14,"")</f>
        <v>0</v>
      </c>
      <c r="K14" s="18" t="str">
        <f aca="false">IFERROR(J14/H14,"")</f>
        <v/>
      </c>
      <c r="L14" s="14"/>
      <c r="M14" s="14"/>
      <c r="N14" s="14"/>
      <c r="O14" s="14"/>
    </row>
    <row r="15" customFormat="false" ht="15" hidden="false" customHeight="false" outlineLevel="0" collapsed="false">
      <c r="A15" s="14"/>
      <c r="B15" s="14"/>
      <c r="C15" s="14"/>
      <c r="D15" s="14"/>
      <c r="E15" s="14"/>
      <c r="F15" s="14"/>
      <c r="G15" s="15"/>
      <c r="H15" s="16"/>
      <c r="I15" s="16"/>
      <c r="J15" s="17" t="n">
        <f aca="false">IFERROR(H15-I15,"")</f>
        <v>0</v>
      </c>
      <c r="K15" s="18" t="str">
        <f aca="false">IFERROR(J15/H15,"")</f>
        <v/>
      </c>
      <c r="L15" s="14"/>
      <c r="M15" s="14"/>
      <c r="N15" s="14"/>
      <c r="O15" s="14"/>
    </row>
    <row r="16" customFormat="false" ht="15" hidden="false" customHeight="false" outlineLevel="0" collapsed="false">
      <c r="A16" s="14"/>
      <c r="B16" s="14"/>
      <c r="C16" s="14"/>
      <c r="D16" s="14"/>
      <c r="E16" s="14"/>
      <c r="F16" s="14"/>
      <c r="G16" s="15"/>
      <c r="H16" s="16"/>
      <c r="I16" s="16"/>
      <c r="J16" s="17" t="n">
        <f aca="false">IFERROR(H16-I16,"")</f>
        <v>0</v>
      </c>
      <c r="K16" s="18" t="str">
        <f aca="false">IFERROR(J16/H16,"")</f>
        <v/>
      </c>
      <c r="L16" s="14"/>
      <c r="M16" s="14"/>
      <c r="N16" s="14"/>
      <c r="O16" s="14"/>
    </row>
    <row r="17" customFormat="false" ht="15" hidden="false" customHeight="false" outlineLevel="0" collapsed="false">
      <c r="A17" s="14"/>
      <c r="B17" s="14"/>
      <c r="C17" s="14"/>
      <c r="D17" s="14"/>
      <c r="E17" s="14"/>
      <c r="F17" s="14"/>
      <c r="G17" s="15"/>
      <c r="H17" s="16"/>
      <c r="I17" s="16"/>
      <c r="J17" s="17" t="n">
        <f aca="false">IFERROR(H17-I17,"")</f>
        <v>0</v>
      </c>
      <c r="K17" s="18" t="str">
        <f aca="false">IFERROR(J17/H17,"")</f>
        <v/>
      </c>
      <c r="L17" s="14"/>
      <c r="M17" s="14"/>
      <c r="N17" s="14"/>
      <c r="O17" s="14"/>
    </row>
    <row r="18" customFormat="false" ht="15" hidden="false" customHeight="false" outlineLevel="0" collapsed="false">
      <c r="A18" s="14"/>
      <c r="B18" s="14"/>
      <c r="C18" s="14"/>
      <c r="D18" s="14"/>
      <c r="E18" s="14"/>
      <c r="F18" s="14"/>
      <c r="G18" s="15"/>
      <c r="H18" s="16"/>
      <c r="I18" s="16"/>
      <c r="J18" s="17" t="n">
        <f aca="false">IFERROR(H18-I18,"")</f>
        <v>0</v>
      </c>
      <c r="K18" s="18" t="str">
        <f aca="false">IFERROR(J18/H18,"")</f>
        <v/>
      </c>
      <c r="L18" s="14"/>
      <c r="M18" s="14"/>
      <c r="N18" s="14"/>
      <c r="O18" s="14"/>
    </row>
    <row r="19" customFormat="false" ht="15" hidden="false" customHeight="false" outlineLevel="0" collapsed="false">
      <c r="A19" s="14"/>
      <c r="B19" s="14"/>
      <c r="C19" s="14"/>
      <c r="D19" s="14"/>
      <c r="E19" s="14"/>
      <c r="F19" s="14"/>
      <c r="G19" s="15"/>
      <c r="H19" s="16"/>
      <c r="I19" s="16"/>
      <c r="J19" s="17" t="n">
        <f aca="false">IFERROR(H19-I19,"")</f>
        <v>0</v>
      </c>
      <c r="K19" s="18" t="str">
        <f aca="false">IFERROR(J19/H19,"")</f>
        <v/>
      </c>
      <c r="L19" s="14"/>
      <c r="M19" s="14"/>
      <c r="N19" s="14"/>
      <c r="O19" s="14"/>
    </row>
    <row r="20" customFormat="false" ht="15" hidden="false" customHeight="false" outlineLevel="0" collapsed="false">
      <c r="A20" s="14"/>
      <c r="B20" s="14"/>
      <c r="C20" s="14"/>
      <c r="D20" s="14"/>
      <c r="E20" s="14"/>
      <c r="F20" s="14"/>
      <c r="G20" s="15"/>
      <c r="H20" s="16"/>
      <c r="I20" s="16"/>
      <c r="J20" s="17" t="n">
        <f aca="false">IFERROR(H20-I20,"")</f>
        <v>0</v>
      </c>
      <c r="K20" s="18" t="str">
        <f aca="false">IFERROR(J20/H20,"")</f>
        <v/>
      </c>
      <c r="L20" s="14"/>
      <c r="M20" s="14"/>
      <c r="N20" s="14"/>
      <c r="O20" s="14"/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4"/>
      <c r="G21" s="15"/>
      <c r="H21" s="16"/>
      <c r="I21" s="16"/>
      <c r="J21" s="17" t="n">
        <f aca="false">IFERROR(H21-I21,"")</f>
        <v>0</v>
      </c>
      <c r="K21" s="18" t="str">
        <f aca="false">IFERROR(J21/H21,"")</f>
        <v/>
      </c>
      <c r="L21" s="14"/>
      <c r="M21" s="14"/>
      <c r="N21" s="14"/>
      <c r="O21" s="14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  <c r="G22" s="15"/>
      <c r="H22" s="16"/>
      <c r="I22" s="16"/>
      <c r="J22" s="17" t="n">
        <f aca="false">IFERROR(H22-I22,"")</f>
        <v>0</v>
      </c>
      <c r="K22" s="18" t="str">
        <f aca="false">IFERROR(J22/H22,"")</f>
        <v/>
      </c>
      <c r="L22" s="14"/>
      <c r="M22" s="14"/>
      <c r="N22" s="14"/>
      <c r="O22" s="14"/>
    </row>
    <row r="23" customFormat="false" ht="15" hidden="false" customHeight="false" outlineLevel="0" collapsed="false">
      <c r="A23" s="14"/>
      <c r="B23" s="14"/>
      <c r="C23" s="14"/>
      <c r="D23" s="14"/>
      <c r="E23" s="14"/>
      <c r="F23" s="14"/>
      <c r="G23" s="15"/>
      <c r="H23" s="16"/>
      <c r="I23" s="16"/>
      <c r="J23" s="17" t="n">
        <f aca="false">IFERROR(H23-I23,"")</f>
        <v>0</v>
      </c>
      <c r="K23" s="18" t="str">
        <f aca="false">IFERROR(J23/H23,"")</f>
        <v/>
      </c>
      <c r="L23" s="14"/>
      <c r="M23" s="14"/>
      <c r="N23" s="14"/>
      <c r="O23" s="14"/>
    </row>
    <row r="24" customFormat="false" ht="15" hidden="false" customHeight="false" outlineLevel="0" collapsed="false">
      <c r="A24" s="14"/>
      <c r="B24" s="14"/>
      <c r="C24" s="14"/>
      <c r="D24" s="14"/>
      <c r="E24" s="14"/>
      <c r="F24" s="14"/>
      <c r="G24" s="15"/>
      <c r="H24" s="16"/>
      <c r="I24" s="16"/>
      <c r="J24" s="17" t="n">
        <f aca="false">IFERROR(H24-I24,"")</f>
        <v>0</v>
      </c>
      <c r="K24" s="18" t="str">
        <f aca="false">IFERROR(J24/H24,"")</f>
        <v/>
      </c>
      <c r="L24" s="14"/>
      <c r="M24" s="14"/>
      <c r="N24" s="14"/>
      <c r="O24" s="14"/>
    </row>
    <row r="25" customFormat="false" ht="15" hidden="false" customHeight="false" outlineLevel="0" collapsed="false">
      <c r="A25" s="14"/>
      <c r="B25" s="14"/>
      <c r="C25" s="14"/>
      <c r="D25" s="14"/>
      <c r="E25" s="14"/>
      <c r="F25" s="14"/>
      <c r="G25" s="15"/>
      <c r="H25" s="16"/>
      <c r="I25" s="16"/>
      <c r="J25" s="17" t="n">
        <f aca="false">IFERROR(H25-I25,"")</f>
        <v>0</v>
      </c>
      <c r="K25" s="18" t="str">
        <f aca="false">IFERROR(J25/H25,"")</f>
        <v/>
      </c>
      <c r="L25" s="14"/>
      <c r="M25" s="14"/>
      <c r="N25" s="14"/>
      <c r="O25" s="14"/>
    </row>
    <row r="26" customFormat="false" ht="15" hidden="false" customHeight="false" outlineLevel="0" collapsed="false">
      <c r="A26" s="14"/>
      <c r="B26" s="14"/>
      <c r="C26" s="14"/>
      <c r="D26" s="14"/>
      <c r="E26" s="14"/>
      <c r="F26" s="14"/>
      <c r="G26" s="15"/>
      <c r="H26" s="16"/>
      <c r="I26" s="16"/>
      <c r="J26" s="17" t="n">
        <f aca="false">IFERROR(H26-I26,"")</f>
        <v>0</v>
      </c>
      <c r="K26" s="18" t="str">
        <f aca="false">IFERROR(J26/H26,"")</f>
        <v/>
      </c>
      <c r="L26" s="14"/>
      <c r="M26" s="14"/>
      <c r="N26" s="14"/>
      <c r="O26" s="14"/>
    </row>
    <row r="27" customFormat="false" ht="15" hidden="false" customHeight="false" outlineLevel="0" collapsed="false">
      <c r="A27" s="14"/>
      <c r="B27" s="14"/>
      <c r="C27" s="14"/>
      <c r="D27" s="14"/>
      <c r="E27" s="14"/>
      <c r="F27" s="14"/>
      <c r="G27" s="15"/>
      <c r="H27" s="16"/>
      <c r="I27" s="16"/>
      <c r="J27" s="17" t="n">
        <f aca="false">IFERROR(H27-I27,"")</f>
        <v>0</v>
      </c>
      <c r="K27" s="18" t="str">
        <f aca="false">IFERROR(J27/H27,"")</f>
        <v/>
      </c>
      <c r="L27" s="14"/>
      <c r="M27" s="14"/>
      <c r="N27" s="14"/>
      <c r="O27" s="14"/>
    </row>
    <row r="28" customFormat="false" ht="15" hidden="false" customHeight="false" outlineLevel="0" collapsed="false">
      <c r="A28" s="14"/>
      <c r="B28" s="14"/>
      <c r="C28" s="14"/>
      <c r="D28" s="14"/>
      <c r="E28" s="14"/>
      <c r="F28" s="14"/>
      <c r="G28" s="15"/>
      <c r="H28" s="16"/>
      <c r="I28" s="16"/>
      <c r="J28" s="17" t="n">
        <f aca="false">IFERROR(H28-I28,"")</f>
        <v>0</v>
      </c>
      <c r="K28" s="18" t="str">
        <f aca="false">IFERROR(J28/H28,"")</f>
        <v/>
      </c>
      <c r="L28" s="14"/>
      <c r="M28" s="14"/>
      <c r="N28" s="14"/>
      <c r="O28" s="14"/>
    </row>
    <row r="29" customFormat="false" ht="15" hidden="false" customHeight="false" outlineLevel="0" collapsed="false">
      <c r="A29" s="14"/>
      <c r="B29" s="14"/>
      <c r="C29" s="14"/>
      <c r="D29" s="14"/>
      <c r="E29" s="14"/>
      <c r="F29" s="14"/>
      <c r="G29" s="15"/>
      <c r="H29" s="16"/>
      <c r="I29" s="16"/>
      <c r="J29" s="17" t="n">
        <f aca="false">IFERROR(H29-I29,"")</f>
        <v>0</v>
      </c>
      <c r="K29" s="18" t="str">
        <f aca="false">IFERROR(J29/H29,"")</f>
        <v/>
      </c>
      <c r="L29" s="14"/>
      <c r="M29" s="14"/>
      <c r="N29" s="14"/>
      <c r="O29" s="14"/>
    </row>
    <row r="30" customFormat="false" ht="15" hidden="false" customHeight="false" outlineLevel="0" collapsed="false">
      <c r="A30" s="14"/>
      <c r="B30" s="14"/>
      <c r="C30" s="14"/>
      <c r="D30" s="14"/>
      <c r="E30" s="14"/>
      <c r="F30" s="14"/>
      <c r="G30" s="15"/>
      <c r="H30" s="16"/>
      <c r="I30" s="16"/>
      <c r="J30" s="17" t="n">
        <f aca="false">IFERROR(H30-I30,"")</f>
        <v>0</v>
      </c>
      <c r="K30" s="18" t="str">
        <f aca="false">IFERROR(J30/H30,"")</f>
        <v/>
      </c>
      <c r="L30" s="14"/>
      <c r="M30" s="14"/>
      <c r="N30" s="14"/>
      <c r="O30" s="14"/>
    </row>
    <row r="31" customFormat="false" ht="15" hidden="false" customHeight="false" outlineLevel="0" collapsed="false">
      <c r="A31" s="14"/>
      <c r="B31" s="14"/>
      <c r="C31" s="14"/>
      <c r="D31" s="14"/>
      <c r="E31" s="14"/>
      <c r="F31" s="14"/>
      <c r="G31" s="15"/>
      <c r="H31" s="16"/>
      <c r="I31" s="16"/>
      <c r="J31" s="17" t="n">
        <f aca="false">IFERROR(H31-I31,"")</f>
        <v>0</v>
      </c>
      <c r="K31" s="18" t="str">
        <f aca="false">IFERROR(J31/H31,"")</f>
        <v/>
      </c>
      <c r="L31" s="14"/>
      <c r="M31" s="14"/>
      <c r="N31" s="14"/>
      <c r="O31" s="14"/>
    </row>
    <row r="32" customFormat="false" ht="15" hidden="false" customHeight="false" outlineLevel="0" collapsed="false">
      <c r="A32" s="14"/>
      <c r="B32" s="14"/>
      <c r="C32" s="14"/>
      <c r="D32" s="14"/>
      <c r="E32" s="14"/>
      <c r="F32" s="14"/>
      <c r="G32" s="15"/>
      <c r="H32" s="16"/>
      <c r="I32" s="16"/>
      <c r="J32" s="17" t="n">
        <f aca="false">IFERROR(H32-I32,"")</f>
        <v>0</v>
      </c>
      <c r="K32" s="18" t="str">
        <f aca="false">IFERROR(J32/H32,"")</f>
        <v/>
      </c>
      <c r="L32" s="14"/>
      <c r="M32" s="14"/>
      <c r="N32" s="14"/>
      <c r="O32" s="14"/>
    </row>
    <row r="33" customFormat="false" ht="15" hidden="false" customHeight="false" outlineLevel="0" collapsed="false">
      <c r="A33" s="14"/>
      <c r="B33" s="14"/>
      <c r="C33" s="14"/>
      <c r="D33" s="14"/>
      <c r="E33" s="14"/>
      <c r="F33" s="14"/>
      <c r="G33" s="15"/>
      <c r="H33" s="16"/>
      <c r="I33" s="16"/>
      <c r="J33" s="17" t="n">
        <f aca="false">IFERROR(H33-I33,"")</f>
        <v>0</v>
      </c>
      <c r="K33" s="18" t="str">
        <f aca="false">IFERROR(J33/H33,"")</f>
        <v/>
      </c>
      <c r="L33" s="14"/>
      <c r="M33" s="14"/>
      <c r="N33" s="14"/>
      <c r="O33" s="14"/>
    </row>
    <row r="34" customFormat="false" ht="15" hidden="false" customHeight="false" outlineLevel="0" collapsed="false">
      <c r="A34" s="14"/>
      <c r="B34" s="14"/>
      <c r="C34" s="14"/>
      <c r="D34" s="14"/>
      <c r="E34" s="14"/>
      <c r="F34" s="14"/>
      <c r="G34" s="15"/>
      <c r="H34" s="16"/>
      <c r="I34" s="16"/>
      <c r="J34" s="17" t="n">
        <f aca="false">IFERROR(H34-I34,"")</f>
        <v>0</v>
      </c>
      <c r="K34" s="18" t="str">
        <f aca="false">IFERROR(J34/H34,"")</f>
        <v/>
      </c>
      <c r="L34" s="14"/>
      <c r="M34" s="14"/>
      <c r="N34" s="14"/>
      <c r="O34" s="14"/>
    </row>
    <row r="35" customFormat="false" ht="15" hidden="false" customHeight="false" outlineLevel="0" collapsed="false">
      <c r="A35" s="14"/>
      <c r="B35" s="14"/>
      <c r="C35" s="14"/>
      <c r="D35" s="14"/>
      <c r="E35" s="14"/>
      <c r="F35" s="14"/>
      <c r="G35" s="15"/>
      <c r="H35" s="16"/>
      <c r="I35" s="16"/>
      <c r="J35" s="17" t="n">
        <f aca="false">IFERROR(H35-I35,"")</f>
        <v>0</v>
      </c>
      <c r="K35" s="18" t="str">
        <f aca="false">IFERROR(J35/H35,"")</f>
        <v/>
      </c>
      <c r="L35" s="14"/>
      <c r="M35" s="14"/>
      <c r="N35" s="14"/>
      <c r="O35" s="14"/>
    </row>
    <row r="36" customFormat="false" ht="15" hidden="false" customHeight="false" outlineLevel="0" collapsed="false">
      <c r="A36" s="14"/>
      <c r="B36" s="14"/>
      <c r="C36" s="14"/>
      <c r="D36" s="14"/>
      <c r="E36" s="14"/>
      <c r="F36" s="14"/>
      <c r="G36" s="15"/>
      <c r="H36" s="16"/>
      <c r="I36" s="16"/>
      <c r="J36" s="17" t="n">
        <f aca="false">IFERROR(H36-I36,"")</f>
        <v>0</v>
      </c>
      <c r="K36" s="18" t="str">
        <f aca="false">IFERROR(J36/H36,"")</f>
        <v/>
      </c>
      <c r="L36" s="14"/>
      <c r="M36" s="14"/>
      <c r="N36" s="14"/>
      <c r="O36" s="14"/>
    </row>
    <row r="37" customFormat="false" ht="15" hidden="false" customHeight="false" outlineLevel="0" collapsed="false">
      <c r="A37" s="14"/>
      <c r="B37" s="14"/>
      <c r="C37" s="14"/>
      <c r="D37" s="14"/>
      <c r="E37" s="14"/>
      <c r="F37" s="14"/>
      <c r="G37" s="15"/>
      <c r="H37" s="16"/>
      <c r="I37" s="16"/>
      <c r="J37" s="17" t="n">
        <f aca="false">IFERROR(H37-I37,"")</f>
        <v>0</v>
      </c>
      <c r="K37" s="18" t="str">
        <f aca="false">IFERROR(J37/H37,"")</f>
        <v/>
      </c>
      <c r="L37" s="14"/>
      <c r="M37" s="14"/>
      <c r="N37" s="14"/>
      <c r="O37" s="14"/>
    </row>
    <row r="38" customFormat="false" ht="15" hidden="false" customHeight="false" outlineLevel="0" collapsed="false">
      <c r="A38" s="14"/>
      <c r="B38" s="14"/>
      <c r="C38" s="14"/>
      <c r="D38" s="14"/>
      <c r="E38" s="14"/>
      <c r="F38" s="14"/>
      <c r="G38" s="15"/>
      <c r="H38" s="16"/>
      <c r="I38" s="16"/>
      <c r="J38" s="17" t="n">
        <f aca="false">IFERROR(H38-I38,"")</f>
        <v>0</v>
      </c>
      <c r="K38" s="18" t="str">
        <f aca="false">IFERROR(J38/H38,"")</f>
        <v/>
      </c>
      <c r="L38" s="14"/>
      <c r="M38" s="14"/>
      <c r="N38" s="14"/>
      <c r="O38" s="14"/>
    </row>
    <row r="39" customFormat="false" ht="15" hidden="false" customHeight="false" outlineLevel="0" collapsed="false">
      <c r="A39" s="14"/>
      <c r="B39" s="14"/>
      <c r="C39" s="14"/>
      <c r="D39" s="14"/>
      <c r="E39" s="14"/>
      <c r="F39" s="14"/>
      <c r="G39" s="15"/>
      <c r="H39" s="16"/>
      <c r="I39" s="16"/>
      <c r="J39" s="17" t="n">
        <f aca="false">IFERROR(H39-I39,"")</f>
        <v>0</v>
      </c>
      <c r="K39" s="18" t="str">
        <f aca="false">IFERROR(J39/H39,"")</f>
        <v/>
      </c>
      <c r="L39" s="14"/>
      <c r="M39" s="14"/>
      <c r="N39" s="14"/>
      <c r="O39" s="14"/>
    </row>
    <row r="40" customFormat="false" ht="15" hidden="false" customHeight="false" outlineLevel="0" collapsed="false">
      <c r="A40" s="14"/>
      <c r="B40" s="14"/>
      <c r="C40" s="14"/>
      <c r="D40" s="14"/>
      <c r="E40" s="14"/>
      <c r="F40" s="14"/>
      <c r="G40" s="15"/>
      <c r="H40" s="16"/>
      <c r="I40" s="16"/>
      <c r="J40" s="17" t="n">
        <f aca="false">IFERROR(H40-I40,"")</f>
        <v>0</v>
      </c>
      <c r="K40" s="18" t="str">
        <f aca="false">IFERROR(J40/H40,"")</f>
        <v/>
      </c>
      <c r="L40" s="14"/>
      <c r="M40" s="14"/>
      <c r="N40" s="14"/>
      <c r="O40" s="14"/>
    </row>
    <row r="41" customFormat="false" ht="15" hidden="false" customHeight="false" outlineLevel="0" collapsed="false">
      <c r="A41" s="14"/>
      <c r="B41" s="14"/>
      <c r="C41" s="14"/>
      <c r="D41" s="14"/>
      <c r="E41" s="14"/>
      <c r="F41" s="14"/>
      <c r="G41" s="15"/>
      <c r="H41" s="16"/>
      <c r="I41" s="16"/>
      <c r="J41" s="17" t="n">
        <f aca="false">IFERROR(H41-I41,"")</f>
        <v>0</v>
      </c>
      <c r="K41" s="18" t="str">
        <f aca="false">IFERROR(J41/H41,"")</f>
        <v/>
      </c>
      <c r="L41" s="14"/>
      <c r="M41" s="14"/>
      <c r="N41" s="14"/>
      <c r="O41" s="14"/>
    </row>
    <row r="42" customFormat="false" ht="15" hidden="false" customHeight="false" outlineLevel="0" collapsed="false">
      <c r="A42" s="14"/>
      <c r="B42" s="14"/>
      <c r="C42" s="14"/>
      <c r="D42" s="14"/>
      <c r="E42" s="14"/>
      <c r="F42" s="14"/>
      <c r="G42" s="15"/>
      <c r="H42" s="16"/>
      <c r="I42" s="16"/>
      <c r="J42" s="17" t="n">
        <f aca="false">IFERROR(H42-I42,"")</f>
        <v>0</v>
      </c>
      <c r="K42" s="18" t="str">
        <f aca="false">IFERROR(J42/H42,"")</f>
        <v/>
      </c>
      <c r="L42" s="14"/>
      <c r="M42" s="14"/>
      <c r="N42" s="14"/>
      <c r="O42" s="14"/>
    </row>
    <row r="43" customFormat="false" ht="15" hidden="false" customHeight="false" outlineLevel="0" collapsed="false">
      <c r="A43" s="14"/>
      <c r="B43" s="14"/>
      <c r="C43" s="14"/>
      <c r="D43" s="14"/>
      <c r="E43" s="14"/>
      <c r="F43" s="14"/>
      <c r="G43" s="15"/>
      <c r="H43" s="16"/>
      <c r="I43" s="16"/>
      <c r="J43" s="17" t="n">
        <f aca="false">IFERROR(H43-I43,"")</f>
        <v>0</v>
      </c>
      <c r="K43" s="18" t="str">
        <f aca="false">IFERROR(J43/H43,"")</f>
        <v/>
      </c>
      <c r="L43" s="14"/>
      <c r="M43" s="14"/>
      <c r="N43" s="14"/>
      <c r="O43" s="14"/>
    </row>
    <row r="44" customFormat="false" ht="15" hidden="false" customHeight="false" outlineLevel="0" collapsed="false">
      <c r="A44" s="14"/>
      <c r="B44" s="14"/>
      <c r="C44" s="14"/>
      <c r="D44" s="14"/>
      <c r="E44" s="14"/>
      <c r="F44" s="14"/>
      <c r="G44" s="15"/>
      <c r="H44" s="16"/>
      <c r="I44" s="16"/>
      <c r="J44" s="17" t="n">
        <f aca="false">IFERROR(H44-I44,"")</f>
        <v>0</v>
      </c>
      <c r="K44" s="18" t="str">
        <f aca="false">IFERROR(J44/H44,"")</f>
        <v/>
      </c>
      <c r="L44" s="14"/>
      <c r="M44" s="14"/>
      <c r="N44" s="14"/>
      <c r="O44" s="14"/>
    </row>
    <row r="45" customFormat="false" ht="15" hidden="false" customHeight="false" outlineLevel="0" collapsed="false">
      <c r="A45" s="14"/>
      <c r="B45" s="14"/>
      <c r="C45" s="14"/>
      <c r="D45" s="14"/>
      <c r="E45" s="14"/>
      <c r="F45" s="14"/>
      <c r="G45" s="15"/>
      <c r="H45" s="16"/>
      <c r="I45" s="16"/>
      <c r="J45" s="17" t="n">
        <f aca="false">IFERROR(H45-I45,"")</f>
        <v>0</v>
      </c>
      <c r="K45" s="18" t="str">
        <f aca="false">IFERROR(J45/H45,"")</f>
        <v/>
      </c>
      <c r="L45" s="14"/>
      <c r="M45" s="14"/>
      <c r="N45" s="14"/>
      <c r="O45" s="14"/>
    </row>
    <row r="47" customFormat="false" ht="15" hidden="false" customHeight="false" outlineLevel="0" collapsed="false">
      <c r="A47" s="7" t="s">
        <v>59</v>
      </c>
      <c r="H47" s="19" t="n">
        <f aca="false">SUM(H6:H45)</f>
        <v>0</v>
      </c>
      <c r="I47" s="19" t="n">
        <f aca="false">SUM(I6:I45)</f>
        <v>0</v>
      </c>
      <c r="J47" s="19" t="n">
        <f aca="false">SUM(J6:J45)</f>
        <v>0</v>
      </c>
      <c r="K47" s="20" t="str">
        <f aca="false">IFERROR(J47/H47,"")</f>
        <v/>
      </c>
    </row>
    <row r="49" customFormat="false" ht="15" hidden="false" customHeight="false" outlineLevel="0" collapsed="false">
      <c r="A49" s="2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34"/>
    <col collapsed="false" customWidth="true" hidden="false" outlineLevel="0" max="8" min="8" style="0" width="20"/>
    <col collapsed="false" customWidth="true" hidden="false" outlineLevel="0" max="9" min="9" style="0" width="21"/>
    <col collapsed="false" customWidth="true" hidden="false" outlineLevel="0" max="10" min="10" style="0" width="30"/>
  </cols>
  <sheetData>
    <row r="1" customFormat="false" ht="16.15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4" customFormat="false" ht="30" hidden="false" customHeight="true" outlineLevel="0" collapsed="false">
      <c r="A4" s="9" t="s">
        <v>63</v>
      </c>
      <c r="B4" s="9" t="s">
        <v>34</v>
      </c>
      <c r="C4" s="9" t="s">
        <v>37</v>
      </c>
      <c r="D4" s="9" t="s">
        <v>64</v>
      </c>
      <c r="E4" s="9" t="s">
        <v>65</v>
      </c>
      <c r="F4" s="9" t="s">
        <v>47</v>
      </c>
      <c r="G4" s="9" t="s">
        <v>66</v>
      </c>
      <c r="H4" s="9" t="s">
        <v>67</v>
      </c>
      <c r="I4" s="9" t="s">
        <v>68</v>
      </c>
      <c r="J4" s="9" t="s">
        <v>48</v>
      </c>
    </row>
    <row r="5" customFormat="false" ht="15" hidden="false" customHeight="false" outlineLevel="0" collapsed="false">
      <c r="A5" s="10" t="s">
        <v>69</v>
      </c>
      <c r="B5" s="10" t="s">
        <v>49</v>
      </c>
      <c r="C5" s="10" t="s">
        <v>52</v>
      </c>
      <c r="D5" s="10" t="s">
        <v>53</v>
      </c>
      <c r="E5" s="21" t="n">
        <v>0.6</v>
      </c>
      <c r="F5" s="10" t="s">
        <v>70</v>
      </c>
      <c r="G5" s="10" t="s">
        <v>71</v>
      </c>
      <c r="H5" s="12" t="n">
        <f aca="false">IFERROR(INDEX(Mills!$J$5:$J$45,MATCH($B5,Mills!$A$5:$A$45,0)),"")</f>
        <v>144.5</v>
      </c>
      <c r="I5" s="12" t="n">
        <f aca="false">IFERROR($E5*$H5,"")</f>
        <v>86.7</v>
      </c>
      <c r="J5" s="10" t="s">
        <v>72</v>
      </c>
    </row>
    <row r="6" customFormat="false" ht="15" hidden="false" customHeight="false" outlineLevel="0" collapsed="false">
      <c r="A6" s="14"/>
      <c r="B6" s="14"/>
      <c r="C6" s="14"/>
      <c r="D6" s="14"/>
      <c r="E6" s="22"/>
      <c r="F6" s="14"/>
      <c r="G6" s="14"/>
      <c r="H6" s="17" t="str">
        <f aca="false">IFERROR(INDEX(Mills!$J$5:$J$45,MATCH($B6,Mills!$A$5:$A$45,0)),"")</f>
        <v/>
      </c>
      <c r="I6" s="17" t="str">
        <f aca="false">IFERROR($E6*$H6,"")</f>
        <v/>
      </c>
      <c r="J6" s="14"/>
    </row>
    <row r="7" customFormat="false" ht="15" hidden="false" customHeight="false" outlineLevel="0" collapsed="false">
      <c r="A7" s="14"/>
      <c r="B7" s="14"/>
      <c r="C7" s="14"/>
      <c r="D7" s="14"/>
      <c r="E7" s="22"/>
      <c r="F7" s="14"/>
      <c r="G7" s="14"/>
      <c r="H7" s="17" t="str">
        <f aca="false">IFERROR(INDEX(Mills!$J$5:$J$45,MATCH($B7,Mills!$A$5:$A$45,0)),"")</f>
        <v/>
      </c>
      <c r="I7" s="17" t="str">
        <f aca="false">IFERROR($E7*$H7,"")</f>
        <v/>
      </c>
      <c r="J7" s="14"/>
    </row>
    <row r="8" customFormat="false" ht="15" hidden="false" customHeight="false" outlineLevel="0" collapsed="false">
      <c r="A8" s="14"/>
      <c r="B8" s="14"/>
      <c r="C8" s="14"/>
      <c r="D8" s="14"/>
      <c r="E8" s="22"/>
      <c r="F8" s="14"/>
      <c r="G8" s="14"/>
      <c r="H8" s="17" t="str">
        <f aca="false">IFERROR(INDEX(Mills!$J$5:$J$45,MATCH($B8,Mills!$A$5:$A$45,0)),"")</f>
        <v/>
      </c>
      <c r="I8" s="17" t="str">
        <f aca="false">IFERROR($E8*$H8,"")</f>
        <v/>
      </c>
      <c r="J8" s="14"/>
    </row>
    <row r="9" customFormat="false" ht="15" hidden="false" customHeight="false" outlineLevel="0" collapsed="false">
      <c r="A9" s="14"/>
      <c r="B9" s="14"/>
      <c r="C9" s="14"/>
      <c r="D9" s="14"/>
      <c r="E9" s="22"/>
      <c r="F9" s="14"/>
      <c r="G9" s="14"/>
      <c r="H9" s="17" t="str">
        <f aca="false">IFERROR(INDEX(Mills!$J$5:$J$45,MATCH($B9,Mills!$A$5:$A$45,0)),"")</f>
        <v/>
      </c>
      <c r="I9" s="17" t="str">
        <f aca="false">IFERROR($E9*$H9,"")</f>
        <v/>
      </c>
      <c r="J9" s="14"/>
    </row>
    <row r="10" customFormat="false" ht="15" hidden="false" customHeight="false" outlineLevel="0" collapsed="false">
      <c r="A10" s="14"/>
      <c r="B10" s="14"/>
      <c r="C10" s="14"/>
      <c r="D10" s="14"/>
      <c r="E10" s="22"/>
      <c r="F10" s="14"/>
      <c r="G10" s="14"/>
      <c r="H10" s="17" t="str">
        <f aca="false">IFERROR(INDEX(Mills!$J$5:$J$45,MATCH($B10,Mills!$A$5:$A$45,0)),"")</f>
        <v/>
      </c>
      <c r="I10" s="17" t="str">
        <f aca="false">IFERROR($E10*$H10,"")</f>
        <v/>
      </c>
      <c r="J10" s="14"/>
    </row>
    <row r="11" customFormat="false" ht="15" hidden="false" customHeight="false" outlineLevel="0" collapsed="false">
      <c r="A11" s="14"/>
      <c r="B11" s="14"/>
      <c r="C11" s="14"/>
      <c r="D11" s="14"/>
      <c r="E11" s="22"/>
      <c r="F11" s="14"/>
      <c r="G11" s="14"/>
      <c r="H11" s="17" t="str">
        <f aca="false">IFERROR(INDEX(Mills!$J$5:$J$45,MATCH($B11,Mills!$A$5:$A$45,0)),"")</f>
        <v/>
      </c>
      <c r="I11" s="17" t="str">
        <f aca="false">IFERROR($E11*$H11,"")</f>
        <v/>
      </c>
      <c r="J11" s="14"/>
    </row>
    <row r="12" customFormat="false" ht="15" hidden="false" customHeight="false" outlineLevel="0" collapsed="false">
      <c r="A12" s="14"/>
      <c r="B12" s="14"/>
      <c r="C12" s="14"/>
      <c r="D12" s="14"/>
      <c r="E12" s="22"/>
      <c r="F12" s="14"/>
      <c r="G12" s="14"/>
      <c r="H12" s="17" t="str">
        <f aca="false">IFERROR(INDEX(Mills!$J$5:$J$45,MATCH($B12,Mills!$A$5:$A$45,0)),"")</f>
        <v/>
      </c>
      <c r="I12" s="17" t="str">
        <f aca="false">IFERROR($E12*$H12,"")</f>
        <v/>
      </c>
      <c r="J12" s="14"/>
    </row>
    <row r="13" customFormat="false" ht="15" hidden="false" customHeight="false" outlineLevel="0" collapsed="false">
      <c r="A13" s="14"/>
      <c r="B13" s="14"/>
      <c r="C13" s="14"/>
      <c r="D13" s="14"/>
      <c r="E13" s="22"/>
      <c r="F13" s="14"/>
      <c r="G13" s="14"/>
      <c r="H13" s="17" t="str">
        <f aca="false">IFERROR(INDEX(Mills!$J$5:$J$45,MATCH($B13,Mills!$A$5:$A$45,0)),"")</f>
        <v/>
      </c>
      <c r="I13" s="17" t="str">
        <f aca="false">IFERROR($E13*$H13,"")</f>
        <v/>
      </c>
      <c r="J13" s="14"/>
    </row>
    <row r="14" customFormat="false" ht="15" hidden="false" customHeight="false" outlineLevel="0" collapsed="false">
      <c r="A14" s="14"/>
      <c r="B14" s="14"/>
      <c r="C14" s="14"/>
      <c r="D14" s="14"/>
      <c r="E14" s="22"/>
      <c r="F14" s="14"/>
      <c r="G14" s="14"/>
      <c r="H14" s="17" t="str">
        <f aca="false">IFERROR(INDEX(Mills!$J$5:$J$45,MATCH($B14,Mills!$A$5:$A$45,0)),"")</f>
        <v/>
      </c>
      <c r="I14" s="17" t="str">
        <f aca="false">IFERROR($E14*$H14,"")</f>
        <v/>
      </c>
      <c r="J14" s="14"/>
    </row>
    <row r="15" customFormat="false" ht="15" hidden="false" customHeight="false" outlineLevel="0" collapsed="false">
      <c r="A15" s="14"/>
      <c r="B15" s="14"/>
      <c r="C15" s="14"/>
      <c r="D15" s="14"/>
      <c r="E15" s="22"/>
      <c r="F15" s="14"/>
      <c r="G15" s="14"/>
      <c r="H15" s="17" t="str">
        <f aca="false">IFERROR(INDEX(Mills!$J$5:$J$45,MATCH($B15,Mills!$A$5:$A$45,0)),"")</f>
        <v/>
      </c>
      <c r="I15" s="17" t="str">
        <f aca="false">IFERROR($E15*$H15,"")</f>
        <v/>
      </c>
      <c r="J15" s="14"/>
    </row>
    <row r="16" customFormat="false" ht="15" hidden="false" customHeight="false" outlineLevel="0" collapsed="false">
      <c r="A16" s="14"/>
      <c r="B16" s="14"/>
      <c r="C16" s="14"/>
      <c r="D16" s="14"/>
      <c r="E16" s="22"/>
      <c r="F16" s="14"/>
      <c r="G16" s="14"/>
      <c r="H16" s="17" t="str">
        <f aca="false">IFERROR(INDEX(Mills!$J$5:$J$45,MATCH($B16,Mills!$A$5:$A$45,0)),"")</f>
        <v/>
      </c>
      <c r="I16" s="17" t="str">
        <f aca="false">IFERROR($E16*$H16,"")</f>
        <v/>
      </c>
      <c r="J16" s="14"/>
    </row>
    <row r="17" customFormat="false" ht="15" hidden="false" customHeight="false" outlineLevel="0" collapsed="false">
      <c r="A17" s="14"/>
      <c r="B17" s="14"/>
      <c r="C17" s="14"/>
      <c r="D17" s="14"/>
      <c r="E17" s="22"/>
      <c r="F17" s="14"/>
      <c r="G17" s="14"/>
      <c r="H17" s="17" t="str">
        <f aca="false">IFERROR(INDEX(Mills!$J$5:$J$45,MATCH($B17,Mills!$A$5:$A$45,0)),"")</f>
        <v/>
      </c>
      <c r="I17" s="17" t="str">
        <f aca="false">IFERROR($E17*$H17,"")</f>
        <v/>
      </c>
      <c r="J17" s="14"/>
    </row>
    <row r="18" customFormat="false" ht="15" hidden="false" customHeight="false" outlineLevel="0" collapsed="false">
      <c r="A18" s="14"/>
      <c r="B18" s="14"/>
      <c r="C18" s="14"/>
      <c r="D18" s="14"/>
      <c r="E18" s="22"/>
      <c r="F18" s="14"/>
      <c r="G18" s="14"/>
      <c r="H18" s="17" t="str">
        <f aca="false">IFERROR(INDEX(Mills!$J$5:$J$45,MATCH($B18,Mills!$A$5:$A$45,0)),"")</f>
        <v/>
      </c>
      <c r="I18" s="17" t="str">
        <f aca="false">IFERROR($E18*$H18,"")</f>
        <v/>
      </c>
      <c r="J18" s="14"/>
    </row>
    <row r="19" customFormat="false" ht="15" hidden="false" customHeight="false" outlineLevel="0" collapsed="false">
      <c r="A19" s="14"/>
      <c r="B19" s="14"/>
      <c r="C19" s="14"/>
      <c r="D19" s="14"/>
      <c r="E19" s="22"/>
      <c r="F19" s="14"/>
      <c r="G19" s="14"/>
      <c r="H19" s="17" t="str">
        <f aca="false">IFERROR(INDEX(Mills!$J$5:$J$45,MATCH($B19,Mills!$A$5:$A$45,0)),"")</f>
        <v/>
      </c>
      <c r="I19" s="17" t="str">
        <f aca="false">IFERROR($E19*$H19,"")</f>
        <v/>
      </c>
      <c r="J19" s="14"/>
    </row>
    <row r="20" customFormat="false" ht="15" hidden="false" customHeight="false" outlineLevel="0" collapsed="false">
      <c r="A20" s="14"/>
      <c r="B20" s="14"/>
      <c r="C20" s="14"/>
      <c r="D20" s="14"/>
      <c r="E20" s="22"/>
      <c r="F20" s="14"/>
      <c r="G20" s="14"/>
      <c r="H20" s="17" t="str">
        <f aca="false">IFERROR(INDEX(Mills!$J$5:$J$45,MATCH($B20,Mills!$A$5:$A$45,0)),"")</f>
        <v/>
      </c>
      <c r="I20" s="17" t="str">
        <f aca="false">IFERROR($E20*$H20,"")</f>
        <v/>
      </c>
      <c r="J20" s="14"/>
    </row>
    <row r="21" customFormat="false" ht="15" hidden="false" customHeight="false" outlineLevel="0" collapsed="false">
      <c r="A21" s="14"/>
      <c r="B21" s="14"/>
      <c r="C21" s="14"/>
      <c r="D21" s="14"/>
      <c r="E21" s="22"/>
      <c r="F21" s="14"/>
      <c r="G21" s="14"/>
      <c r="H21" s="17" t="str">
        <f aca="false">IFERROR(INDEX(Mills!$J$5:$J$45,MATCH($B21,Mills!$A$5:$A$45,0)),"")</f>
        <v/>
      </c>
      <c r="I21" s="17" t="str">
        <f aca="false">IFERROR($E21*$H21,"")</f>
        <v/>
      </c>
      <c r="J21" s="14"/>
    </row>
    <row r="22" customFormat="false" ht="15" hidden="false" customHeight="false" outlineLevel="0" collapsed="false">
      <c r="A22" s="14"/>
      <c r="B22" s="14"/>
      <c r="C22" s="14"/>
      <c r="D22" s="14"/>
      <c r="E22" s="22"/>
      <c r="F22" s="14"/>
      <c r="G22" s="14"/>
      <c r="H22" s="17" t="str">
        <f aca="false">IFERROR(INDEX(Mills!$J$5:$J$45,MATCH($B22,Mills!$A$5:$A$45,0)),"")</f>
        <v/>
      </c>
      <c r="I22" s="17" t="str">
        <f aca="false">IFERROR($E22*$H22,"")</f>
        <v/>
      </c>
      <c r="J22" s="14"/>
    </row>
    <row r="23" customFormat="false" ht="15" hidden="false" customHeight="false" outlineLevel="0" collapsed="false">
      <c r="A23" s="14"/>
      <c r="B23" s="14"/>
      <c r="C23" s="14"/>
      <c r="D23" s="14"/>
      <c r="E23" s="22"/>
      <c r="F23" s="14"/>
      <c r="G23" s="14"/>
      <c r="H23" s="17" t="str">
        <f aca="false">IFERROR(INDEX(Mills!$J$5:$J$45,MATCH($B23,Mills!$A$5:$A$45,0)),"")</f>
        <v/>
      </c>
      <c r="I23" s="17" t="str">
        <f aca="false">IFERROR($E23*$H23,"")</f>
        <v/>
      </c>
      <c r="J23" s="14"/>
    </row>
    <row r="24" customFormat="false" ht="15" hidden="false" customHeight="false" outlineLevel="0" collapsed="false">
      <c r="A24" s="14"/>
      <c r="B24" s="14"/>
      <c r="C24" s="14"/>
      <c r="D24" s="14"/>
      <c r="E24" s="22"/>
      <c r="F24" s="14"/>
      <c r="G24" s="14"/>
      <c r="H24" s="17" t="str">
        <f aca="false">IFERROR(INDEX(Mills!$J$5:$J$45,MATCH($B24,Mills!$A$5:$A$45,0)),"")</f>
        <v/>
      </c>
      <c r="I24" s="17" t="str">
        <f aca="false">IFERROR($E24*$H24,"")</f>
        <v/>
      </c>
      <c r="J24" s="14"/>
    </row>
    <row r="25" customFormat="false" ht="15" hidden="false" customHeight="false" outlineLevel="0" collapsed="false">
      <c r="A25" s="14"/>
      <c r="B25" s="14"/>
      <c r="C25" s="14"/>
      <c r="D25" s="14"/>
      <c r="E25" s="22"/>
      <c r="F25" s="14"/>
      <c r="G25" s="14"/>
      <c r="H25" s="17" t="str">
        <f aca="false">IFERROR(INDEX(Mills!$J$5:$J$45,MATCH($B25,Mills!$A$5:$A$45,0)),"")</f>
        <v/>
      </c>
      <c r="I25" s="17" t="str">
        <f aca="false">IFERROR($E25*$H25,"")</f>
        <v/>
      </c>
      <c r="J25" s="14"/>
    </row>
    <row r="26" customFormat="false" ht="15" hidden="false" customHeight="false" outlineLevel="0" collapsed="false">
      <c r="A26" s="14"/>
      <c r="B26" s="14"/>
      <c r="C26" s="14"/>
      <c r="D26" s="14"/>
      <c r="E26" s="22"/>
      <c r="F26" s="14"/>
      <c r="G26" s="14"/>
      <c r="H26" s="17" t="str">
        <f aca="false">IFERROR(INDEX(Mills!$J$5:$J$45,MATCH($B26,Mills!$A$5:$A$45,0)),"")</f>
        <v/>
      </c>
      <c r="I26" s="17" t="str">
        <f aca="false">IFERROR($E26*$H26,"")</f>
        <v/>
      </c>
      <c r="J26" s="14"/>
    </row>
    <row r="27" customFormat="false" ht="15" hidden="false" customHeight="false" outlineLevel="0" collapsed="false">
      <c r="A27" s="14"/>
      <c r="B27" s="14"/>
      <c r="C27" s="14"/>
      <c r="D27" s="14"/>
      <c r="E27" s="22"/>
      <c r="F27" s="14"/>
      <c r="G27" s="14"/>
      <c r="H27" s="17" t="str">
        <f aca="false">IFERROR(INDEX(Mills!$J$5:$J$45,MATCH($B27,Mills!$A$5:$A$45,0)),"")</f>
        <v/>
      </c>
      <c r="I27" s="17" t="str">
        <f aca="false">IFERROR($E27*$H27,"")</f>
        <v/>
      </c>
      <c r="J27" s="14"/>
    </row>
    <row r="28" customFormat="false" ht="15" hidden="false" customHeight="false" outlineLevel="0" collapsed="false">
      <c r="A28" s="14"/>
      <c r="B28" s="14"/>
      <c r="C28" s="14"/>
      <c r="D28" s="14"/>
      <c r="E28" s="22"/>
      <c r="F28" s="14"/>
      <c r="G28" s="14"/>
      <c r="H28" s="17" t="str">
        <f aca="false">IFERROR(INDEX(Mills!$J$5:$J$45,MATCH($B28,Mills!$A$5:$A$45,0)),"")</f>
        <v/>
      </c>
      <c r="I28" s="17" t="str">
        <f aca="false">IFERROR($E28*$H28,"")</f>
        <v/>
      </c>
      <c r="J28" s="14"/>
    </row>
    <row r="29" customFormat="false" ht="15" hidden="false" customHeight="false" outlineLevel="0" collapsed="false">
      <c r="A29" s="14"/>
      <c r="B29" s="14"/>
      <c r="C29" s="14"/>
      <c r="D29" s="14"/>
      <c r="E29" s="22"/>
      <c r="F29" s="14"/>
      <c r="G29" s="14"/>
      <c r="H29" s="17" t="str">
        <f aca="false">IFERROR(INDEX(Mills!$J$5:$J$45,MATCH($B29,Mills!$A$5:$A$45,0)),"")</f>
        <v/>
      </c>
      <c r="I29" s="17" t="str">
        <f aca="false">IFERROR($E29*$H29,"")</f>
        <v/>
      </c>
      <c r="J29" s="14"/>
    </row>
    <row r="30" customFormat="false" ht="15" hidden="false" customHeight="false" outlineLevel="0" collapsed="false">
      <c r="A30" s="14"/>
      <c r="B30" s="14"/>
      <c r="C30" s="14"/>
      <c r="D30" s="14"/>
      <c r="E30" s="22"/>
      <c r="F30" s="14"/>
      <c r="G30" s="14"/>
      <c r="H30" s="17" t="str">
        <f aca="false">IFERROR(INDEX(Mills!$J$5:$J$45,MATCH($B30,Mills!$A$5:$A$45,0)),"")</f>
        <v/>
      </c>
      <c r="I30" s="17" t="str">
        <f aca="false">IFERROR($E30*$H30,"")</f>
        <v/>
      </c>
      <c r="J30" s="14"/>
    </row>
    <row r="31" customFormat="false" ht="15" hidden="false" customHeight="false" outlineLevel="0" collapsed="false">
      <c r="A31" s="14"/>
      <c r="B31" s="14"/>
      <c r="C31" s="14"/>
      <c r="D31" s="14"/>
      <c r="E31" s="22"/>
      <c r="F31" s="14"/>
      <c r="G31" s="14"/>
      <c r="H31" s="17" t="str">
        <f aca="false">IFERROR(INDEX(Mills!$J$5:$J$45,MATCH($B31,Mills!$A$5:$A$45,0)),"")</f>
        <v/>
      </c>
      <c r="I31" s="17" t="str">
        <f aca="false">IFERROR($E31*$H31,"")</f>
        <v/>
      </c>
      <c r="J31" s="14"/>
    </row>
    <row r="32" customFormat="false" ht="15" hidden="false" customHeight="false" outlineLevel="0" collapsed="false">
      <c r="A32" s="14"/>
      <c r="B32" s="14"/>
      <c r="C32" s="14"/>
      <c r="D32" s="14"/>
      <c r="E32" s="22"/>
      <c r="F32" s="14"/>
      <c r="G32" s="14"/>
      <c r="H32" s="17" t="str">
        <f aca="false">IFERROR(INDEX(Mills!$J$5:$J$45,MATCH($B32,Mills!$A$5:$A$45,0)),"")</f>
        <v/>
      </c>
      <c r="I32" s="17" t="str">
        <f aca="false">IFERROR($E32*$H32,"")</f>
        <v/>
      </c>
      <c r="J32" s="14"/>
    </row>
    <row r="33" customFormat="false" ht="15" hidden="false" customHeight="false" outlineLevel="0" collapsed="false">
      <c r="A33" s="14"/>
      <c r="B33" s="14"/>
      <c r="C33" s="14"/>
      <c r="D33" s="14"/>
      <c r="E33" s="22"/>
      <c r="F33" s="14"/>
      <c r="G33" s="14"/>
      <c r="H33" s="17" t="str">
        <f aca="false">IFERROR(INDEX(Mills!$J$5:$J$45,MATCH($B33,Mills!$A$5:$A$45,0)),"")</f>
        <v/>
      </c>
      <c r="I33" s="17" t="str">
        <f aca="false">IFERROR($E33*$H33,"")</f>
        <v/>
      </c>
      <c r="J33" s="14"/>
    </row>
    <row r="34" customFormat="false" ht="15" hidden="false" customHeight="false" outlineLevel="0" collapsed="false">
      <c r="A34" s="14"/>
      <c r="B34" s="14"/>
      <c r="C34" s="14"/>
      <c r="D34" s="14"/>
      <c r="E34" s="22"/>
      <c r="F34" s="14"/>
      <c r="G34" s="14"/>
      <c r="H34" s="17" t="str">
        <f aca="false">IFERROR(INDEX(Mills!$J$5:$J$45,MATCH($B34,Mills!$A$5:$A$45,0)),"")</f>
        <v/>
      </c>
      <c r="I34" s="17" t="str">
        <f aca="false">IFERROR($E34*$H34,"")</f>
        <v/>
      </c>
      <c r="J34" s="14"/>
    </row>
    <row r="35" customFormat="false" ht="15" hidden="false" customHeight="false" outlineLevel="0" collapsed="false">
      <c r="A35" s="14"/>
      <c r="B35" s="14"/>
      <c r="C35" s="14"/>
      <c r="D35" s="14"/>
      <c r="E35" s="22"/>
      <c r="F35" s="14"/>
      <c r="G35" s="14"/>
      <c r="H35" s="17" t="str">
        <f aca="false">IFERROR(INDEX(Mills!$J$5:$J$45,MATCH($B35,Mills!$A$5:$A$45,0)),"")</f>
        <v/>
      </c>
      <c r="I35" s="17" t="str">
        <f aca="false">IFERROR($E35*$H35,"")</f>
        <v/>
      </c>
      <c r="J35" s="14"/>
    </row>
    <row r="36" customFormat="false" ht="15" hidden="false" customHeight="false" outlineLevel="0" collapsed="false">
      <c r="A36" s="14"/>
      <c r="B36" s="14"/>
      <c r="C36" s="14"/>
      <c r="D36" s="14"/>
      <c r="E36" s="22"/>
      <c r="F36" s="14"/>
      <c r="G36" s="14"/>
      <c r="H36" s="17" t="str">
        <f aca="false">IFERROR(INDEX(Mills!$J$5:$J$45,MATCH($B36,Mills!$A$5:$A$45,0)),"")</f>
        <v/>
      </c>
      <c r="I36" s="17" t="str">
        <f aca="false">IFERROR($E36*$H36,"")</f>
        <v/>
      </c>
      <c r="J36" s="14"/>
    </row>
    <row r="37" customFormat="false" ht="15" hidden="false" customHeight="false" outlineLevel="0" collapsed="false">
      <c r="A37" s="14"/>
      <c r="B37" s="14"/>
      <c r="C37" s="14"/>
      <c r="D37" s="14"/>
      <c r="E37" s="22"/>
      <c r="F37" s="14"/>
      <c r="G37" s="14"/>
      <c r="H37" s="17" t="str">
        <f aca="false">IFERROR(INDEX(Mills!$J$5:$J$45,MATCH($B37,Mills!$A$5:$A$45,0)),"")</f>
        <v/>
      </c>
      <c r="I37" s="17" t="str">
        <f aca="false">IFERROR($E37*$H37,"")</f>
        <v/>
      </c>
      <c r="J37" s="14"/>
    </row>
    <row r="38" customFormat="false" ht="15" hidden="false" customHeight="false" outlineLevel="0" collapsed="false">
      <c r="A38" s="14"/>
      <c r="B38" s="14"/>
      <c r="C38" s="14"/>
      <c r="D38" s="14"/>
      <c r="E38" s="22"/>
      <c r="F38" s="14"/>
      <c r="G38" s="14"/>
      <c r="H38" s="17" t="str">
        <f aca="false">IFERROR(INDEX(Mills!$J$5:$J$45,MATCH($B38,Mills!$A$5:$A$45,0)),"")</f>
        <v/>
      </c>
      <c r="I38" s="17" t="str">
        <f aca="false">IFERROR($E38*$H38,"")</f>
        <v/>
      </c>
      <c r="J38" s="14"/>
    </row>
    <row r="39" customFormat="false" ht="15" hidden="false" customHeight="false" outlineLevel="0" collapsed="false">
      <c r="A39" s="14"/>
      <c r="B39" s="14"/>
      <c r="C39" s="14"/>
      <c r="D39" s="14"/>
      <c r="E39" s="22"/>
      <c r="F39" s="14"/>
      <c r="G39" s="14"/>
      <c r="H39" s="17" t="str">
        <f aca="false">IFERROR(INDEX(Mills!$J$5:$J$45,MATCH($B39,Mills!$A$5:$A$45,0)),"")</f>
        <v/>
      </c>
      <c r="I39" s="17" t="str">
        <f aca="false">IFERROR($E39*$H39,"")</f>
        <v/>
      </c>
      <c r="J39" s="14"/>
    </row>
    <row r="40" customFormat="false" ht="15" hidden="false" customHeight="false" outlineLevel="0" collapsed="false">
      <c r="A40" s="14"/>
      <c r="B40" s="14"/>
      <c r="C40" s="14"/>
      <c r="D40" s="14"/>
      <c r="E40" s="22"/>
      <c r="F40" s="14"/>
      <c r="G40" s="14"/>
      <c r="H40" s="17" t="str">
        <f aca="false">IFERROR(INDEX(Mills!$J$5:$J$45,MATCH($B40,Mills!$A$5:$A$45,0)),"")</f>
        <v/>
      </c>
      <c r="I40" s="17" t="str">
        <f aca="false">IFERROR($E40*$H40,"")</f>
        <v/>
      </c>
      <c r="J40" s="14"/>
    </row>
    <row r="41" customFormat="false" ht="15" hidden="false" customHeight="false" outlineLevel="0" collapsed="false">
      <c r="A41" s="14"/>
      <c r="B41" s="14"/>
      <c r="C41" s="14"/>
      <c r="D41" s="14"/>
      <c r="E41" s="22"/>
      <c r="F41" s="14"/>
      <c r="G41" s="14"/>
      <c r="H41" s="17" t="str">
        <f aca="false">IFERROR(INDEX(Mills!$J$5:$J$45,MATCH($B41,Mills!$A$5:$A$45,0)),"")</f>
        <v/>
      </c>
      <c r="I41" s="17" t="str">
        <f aca="false">IFERROR($E41*$H41,"")</f>
        <v/>
      </c>
      <c r="J41" s="14"/>
    </row>
    <row r="42" customFormat="false" ht="15" hidden="false" customHeight="false" outlineLevel="0" collapsed="false">
      <c r="A42" s="14"/>
      <c r="B42" s="14"/>
      <c r="C42" s="14"/>
      <c r="D42" s="14"/>
      <c r="E42" s="22"/>
      <c r="F42" s="14"/>
      <c r="G42" s="14"/>
      <c r="H42" s="17" t="str">
        <f aca="false">IFERROR(INDEX(Mills!$J$5:$J$45,MATCH($B42,Mills!$A$5:$A$45,0)),"")</f>
        <v/>
      </c>
      <c r="I42" s="17" t="str">
        <f aca="false">IFERROR($E42*$H42,"")</f>
        <v/>
      </c>
      <c r="J42" s="14"/>
    </row>
    <row r="43" customFormat="false" ht="15" hidden="false" customHeight="false" outlineLevel="0" collapsed="false">
      <c r="A43" s="14"/>
      <c r="B43" s="14"/>
      <c r="C43" s="14"/>
      <c r="D43" s="14"/>
      <c r="E43" s="22"/>
      <c r="F43" s="14"/>
      <c r="G43" s="14"/>
      <c r="H43" s="17" t="str">
        <f aca="false">IFERROR(INDEX(Mills!$J$5:$J$45,MATCH($B43,Mills!$A$5:$A$45,0)),"")</f>
        <v/>
      </c>
      <c r="I43" s="17" t="str">
        <f aca="false">IFERROR($E43*$H43,"")</f>
        <v/>
      </c>
      <c r="J43" s="14"/>
    </row>
    <row r="44" customFormat="false" ht="15" hidden="false" customHeight="false" outlineLevel="0" collapsed="false">
      <c r="A44" s="14"/>
      <c r="B44" s="14"/>
      <c r="C44" s="14"/>
      <c r="D44" s="14"/>
      <c r="E44" s="22"/>
      <c r="F44" s="14"/>
      <c r="G44" s="14"/>
      <c r="H44" s="17" t="str">
        <f aca="false">IFERROR(INDEX(Mills!$J$5:$J$45,MATCH($B44,Mills!$A$5:$A$45,0)),"")</f>
        <v/>
      </c>
      <c r="I44" s="17" t="str">
        <f aca="false">IFERROR($E44*$H44,"")</f>
        <v/>
      </c>
      <c r="J44" s="14"/>
    </row>
    <row r="45" customFormat="false" ht="15" hidden="false" customHeight="false" outlineLevel="0" collapsed="false">
      <c r="A45" s="14"/>
      <c r="B45" s="14"/>
      <c r="C45" s="14"/>
      <c r="D45" s="14"/>
      <c r="E45" s="22"/>
      <c r="F45" s="14"/>
      <c r="G45" s="14"/>
      <c r="H45" s="17" t="str">
        <f aca="false">IFERROR(INDEX(Mills!$J$5:$J$45,MATCH($B45,Mills!$A$5:$A$45,0)),"")</f>
        <v/>
      </c>
      <c r="I45" s="17" t="str">
        <f aca="false">IFERROR($E45*$H45,"")</f>
        <v/>
      </c>
      <c r="J45" s="14"/>
    </row>
    <row r="46" customFormat="false" ht="15" hidden="false" customHeight="false" outlineLevel="0" collapsed="false">
      <c r="A46" s="14"/>
      <c r="B46" s="14"/>
      <c r="C46" s="14"/>
      <c r="D46" s="14"/>
      <c r="E46" s="22"/>
      <c r="F46" s="14"/>
      <c r="G46" s="14"/>
      <c r="H46" s="17" t="str">
        <f aca="false">IFERROR(INDEX(Mills!$J$5:$J$45,MATCH($B46,Mills!$A$5:$A$45,0)),"")</f>
        <v/>
      </c>
      <c r="I46" s="17" t="str">
        <f aca="false">IFERROR($E46*$H46,"")</f>
        <v/>
      </c>
      <c r="J46" s="14"/>
    </row>
    <row r="47" customFormat="false" ht="15" hidden="false" customHeight="false" outlineLevel="0" collapsed="false">
      <c r="A47" s="14"/>
      <c r="B47" s="14"/>
      <c r="C47" s="14"/>
      <c r="D47" s="14"/>
      <c r="E47" s="22"/>
      <c r="F47" s="14"/>
      <c r="G47" s="14"/>
      <c r="H47" s="17" t="str">
        <f aca="false">IFERROR(INDEX(Mills!$J$5:$J$45,MATCH($B47,Mills!$A$5:$A$45,0)),"")</f>
        <v/>
      </c>
      <c r="I47" s="17" t="str">
        <f aca="false">IFERROR($E47*$H47,"")</f>
        <v/>
      </c>
      <c r="J47" s="14"/>
    </row>
    <row r="48" customFormat="false" ht="15" hidden="false" customHeight="false" outlineLevel="0" collapsed="false">
      <c r="A48" s="14"/>
      <c r="B48" s="14"/>
      <c r="C48" s="14"/>
      <c r="D48" s="14"/>
      <c r="E48" s="22"/>
      <c r="F48" s="14"/>
      <c r="G48" s="14"/>
      <c r="H48" s="17" t="str">
        <f aca="false">IFERROR(INDEX(Mills!$J$5:$J$45,MATCH($B48,Mills!$A$5:$A$45,0)),"")</f>
        <v/>
      </c>
      <c r="I48" s="17" t="str">
        <f aca="false">IFERROR($E48*$H48,"")</f>
        <v/>
      </c>
      <c r="J48" s="14"/>
    </row>
    <row r="49" customFormat="false" ht="15" hidden="false" customHeight="false" outlineLevel="0" collapsed="false">
      <c r="A49" s="14"/>
      <c r="B49" s="14"/>
      <c r="C49" s="14"/>
      <c r="D49" s="14"/>
      <c r="E49" s="22"/>
      <c r="F49" s="14"/>
      <c r="G49" s="14"/>
      <c r="H49" s="17" t="str">
        <f aca="false">IFERROR(INDEX(Mills!$J$5:$J$45,MATCH($B49,Mills!$A$5:$A$45,0)),"")</f>
        <v/>
      </c>
      <c r="I49" s="17" t="str">
        <f aca="false">IFERROR($E49*$H49,"")</f>
        <v/>
      </c>
      <c r="J49" s="14"/>
    </row>
    <row r="50" customFormat="false" ht="15" hidden="false" customHeight="false" outlineLevel="0" collapsed="false">
      <c r="A50" s="14"/>
      <c r="B50" s="14"/>
      <c r="C50" s="14"/>
      <c r="D50" s="14"/>
      <c r="E50" s="22"/>
      <c r="F50" s="14"/>
      <c r="G50" s="14"/>
      <c r="H50" s="17" t="str">
        <f aca="false">IFERROR(INDEX(Mills!$J$5:$J$45,MATCH($B50,Mills!$A$5:$A$45,0)),"")</f>
        <v/>
      </c>
      <c r="I50" s="17" t="str">
        <f aca="false">IFERROR($E50*$H50,"")</f>
        <v/>
      </c>
      <c r="J50" s="14"/>
    </row>
    <row r="51" customFormat="false" ht="15" hidden="false" customHeight="false" outlineLevel="0" collapsed="false">
      <c r="A51" s="14"/>
      <c r="B51" s="14"/>
      <c r="C51" s="14"/>
      <c r="D51" s="14"/>
      <c r="E51" s="22"/>
      <c r="F51" s="14"/>
      <c r="G51" s="14"/>
      <c r="H51" s="17" t="str">
        <f aca="false">IFERROR(INDEX(Mills!$J$5:$J$45,MATCH($B51,Mills!$A$5:$A$45,0)),"")</f>
        <v/>
      </c>
      <c r="I51" s="17" t="str">
        <f aca="false">IFERROR($E51*$H51,"")</f>
        <v/>
      </c>
      <c r="J51" s="14"/>
    </row>
    <row r="52" customFormat="false" ht="15" hidden="false" customHeight="false" outlineLevel="0" collapsed="false">
      <c r="A52" s="14"/>
      <c r="B52" s="14"/>
      <c r="C52" s="14"/>
      <c r="D52" s="14"/>
      <c r="E52" s="22"/>
      <c r="F52" s="14"/>
      <c r="G52" s="14"/>
      <c r="H52" s="17" t="str">
        <f aca="false">IFERROR(INDEX(Mills!$J$5:$J$45,MATCH($B52,Mills!$A$5:$A$45,0)),"")</f>
        <v/>
      </c>
      <c r="I52" s="17" t="str">
        <f aca="false">IFERROR($E52*$H52,"")</f>
        <v/>
      </c>
      <c r="J52" s="14"/>
    </row>
    <row r="53" customFormat="false" ht="15" hidden="false" customHeight="false" outlineLevel="0" collapsed="false">
      <c r="A53" s="14"/>
      <c r="B53" s="14"/>
      <c r="C53" s="14"/>
      <c r="D53" s="14"/>
      <c r="E53" s="22"/>
      <c r="F53" s="14"/>
      <c r="G53" s="14"/>
      <c r="H53" s="17" t="str">
        <f aca="false">IFERROR(INDEX(Mills!$J$5:$J$45,MATCH($B53,Mills!$A$5:$A$45,0)),"")</f>
        <v/>
      </c>
      <c r="I53" s="17" t="str">
        <f aca="false">IFERROR($E53*$H53,"")</f>
        <v/>
      </c>
      <c r="J53" s="14"/>
    </row>
    <row r="54" customFormat="false" ht="15" hidden="false" customHeight="false" outlineLevel="0" collapsed="false">
      <c r="A54" s="14"/>
      <c r="B54" s="14"/>
      <c r="C54" s="14"/>
      <c r="D54" s="14"/>
      <c r="E54" s="22"/>
      <c r="F54" s="14"/>
      <c r="G54" s="14"/>
      <c r="H54" s="17" t="str">
        <f aca="false">IFERROR(INDEX(Mills!$J$5:$J$45,MATCH($B54,Mills!$A$5:$A$45,0)),"")</f>
        <v/>
      </c>
      <c r="I54" s="17" t="str">
        <f aca="false">IFERROR($E54*$H54,"")</f>
        <v/>
      </c>
      <c r="J54" s="14"/>
    </row>
    <row r="55" customFormat="false" ht="15" hidden="false" customHeight="false" outlineLevel="0" collapsed="false">
      <c r="A55" s="14"/>
      <c r="B55" s="14"/>
      <c r="C55" s="14"/>
      <c r="D55" s="14"/>
      <c r="E55" s="22"/>
      <c r="F55" s="14"/>
      <c r="G55" s="14"/>
      <c r="H55" s="17" t="str">
        <f aca="false">IFERROR(INDEX(Mills!$J$5:$J$45,MATCH($B55,Mills!$A$5:$A$45,0)),"")</f>
        <v/>
      </c>
      <c r="I55" s="17" t="str">
        <f aca="false">IFERROR($E55*$H55,"")</f>
        <v/>
      </c>
      <c r="J55" s="14"/>
    </row>
    <row r="56" customFormat="false" ht="15" hidden="false" customHeight="false" outlineLevel="0" collapsed="false">
      <c r="A56" s="14"/>
      <c r="B56" s="14"/>
      <c r="C56" s="14"/>
      <c r="D56" s="14"/>
      <c r="E56" s="22"/>
      <c r="F56" s="14"/>
      <c r="G56" s="14"/>
      <c r="H56" s="17" t="str">
        <f aca="false">IFERROR(INDEX(Mills!$J$5:$J$45,MATCH($B56,Mills!$A$5:$A$45,0)),"")</f>
        <v/>
      </c>
      <c r="I56" s="17" t="str">
        <f aca="false">IFERROR($E56*$H56,"")</f>
        <v/>
      </c>
      <c r="J56" s="14"/>
    </row>
    <row r="57" customFormat="false" ht="15" hidden="false" customHeight="false" outlineLevel="0" collapsed="false">
      <c r="A57" s="14"/>
      <c r="B57" s="14"/>
      <c r="C57" s="14"/>
      <c r="D57" s="14"/>
      <c r="E57" s="22"/>
      <c r="F57" s="14"/>
      <c r="G57" s="14"/>
      <c r="H57" s="17" t="str">
        <f aca="false">IFERROR(INDEX(Mills!$J$5:$J$45,MATCH($B57,Mills!$A$5:$A$45,0)),"")</f>
        <v/>
      </c>
      <c r="I57" s="17" t="str">
        <f aca="false">IFERROR($E57*$H57,"")</f>
        <v/>
      </c>
      <c r="J57" s="14"/>
    </row>
    <row r="58" customFormat="false" ht="15" hidden="false" customHeight="false" outlineLevel="0" collapsed="false">
      <c r="A58" s="14"/>
      <c r="B58" s="14"/>
      <c r="C58" s="14"/>
      <c r="D58" s="14"/>
      <c r="E58" s="22"/>
      <c r="F58" s="14"/>
      <c r="G58" s="14"/>
      <c r="H58" s="17" t="str">
        <f aca="false">IFERROR(INDEX(Mills!$J$5:$J$45,MATCH($B58,Mills!$A$5:$A$45,0)),"")</f>
        <v/>
      </c>
      <c r="I58" s="17" t="str">
        <f aca="false">IFERROR($E58*$H58,"")</f>
        <v/>
      </c>
      <c r="J58" s="14"/>
    </row>
    <row r="59" customFormat="false" ht="15" hidden="false" customHeight="false" outlineLevel="0" collapsed="false">
      <c r="A59" s="14"/>
      <c r="B59" s="14"/>
      <c r="C59" s="14"/>
      <c r="D59" s="14"/>
      <c r="E59" s="22"/>
      <c r="F59" s="14"/>
      <c r="G59" s="14"/>
      <c r="H59" s="17" t="str">
        <f aca="false">IFERROR(INDEX(Mills!$J$5:$J$45,MATCH($B59,Mills!$A$5:$A$45,0)),"")</f>
        <v/>
      </c>
      <c r="I59" s="17" t="str">
        <f aca="false">IFERROR($E59*$H59,"")</f>
        <v/>
      </c>
      <c r="J59" s="14"/>
    </row>
    <row r="60" customFormat="false" ht="15" hidden="false" customHeight="false" outlineLevel="0" collapsed="false">
      <c r="A60" s="14"/>
      <c r="B60" s="14"/>
      <c r="C60" s="14"/>
      <c r="D60" s="14"/>
      <c r="E60" s="22"/>
      <c r="F60" s="14"/>
      <c r="G60" s="14"/>
      <c r="H60" s="17" t="str">
        <f aca="false">IFERROR(INDEX(Mills!$J$5:$J$45,MATCH($B60,Mills!$A$5:$A$45,0)),"")</f>
        <v/>
      </c>
      <c r="I60" s="17" t="str">
        <f aca="false">IFERROR($E60*$H60,"")</f>
        <v/>
      </c>
      <c r="J60" s="14"/>
    </row>
    <row r="61" customFormat="false" ht="15" hidden="false" customHeight="false" outlineLevel="0" collapsed="false">
      <c r="A61" s="14"/>
      <c r="B61" s="14"/>
      <c r="C61" s="14"/>
      <c r="D61" s="14"/>
      <c r="E61" s="22"/>
      <c r="F61" s="14"/>
      <c r="G61" s="14"/>
      <c r="H61" s="17" t="str">
        <f aca="false">IFERROR(INDEX(Mills!$J$5:$J$45,MATCH($B61,Mills!$A$5:$A$45,0)),"")</f>
        <v/>
      </c>
      <c r="I61" s="17" t="str">
        <f aca="false">IFERROR($E61*$H61,"")</f>
        <v/>
      </c>
      <c r="J61" s="14"/>
    </row>
    <row r="62" customFormat="false" ht="15" hidden="false" customHeight="false" outlineLevel="0" collapsed="false">
      <c r="A62" s="14"/>
      <c r="B62" s="14"/>
      <c r="C62" s="14"/>
      <c r="D62" s="14"/>
      <c r="E62" s="22"/>
      <c r="F62" s="14"/>
      <c r="G62" s="14"/>
      <c r="H62" s="17" t="str">
        <f aca="false">IFERROR(INDEX(Mills!$J$5:$J$45,MATCH($B62,Mills!$A$5:$A$45,0)),"")</f>
        <v/>
      </c>
      <c r="I62" s="17" t="str">
        <f aca="false">IFERROR($E62*$H62,"")</f>
        <v/>
      </c>
      <c r="J62" s="14"/>
    </row>
    <row r="63" customFormat="false" ht="15" hidden="false" customHeight="false" outlineLevel="0" collapsed="false">
      <c r="A63" s="14"/>
      <c r="B63" s="14"/>
      <c r="C63" s="14"/>
      <c r="D63" s="14"/>
      <c r="E63" s="22"/>
      <c r="F63" s="14"/>
      <c r="G63" s="14"/>
      <c r="H63" s="17" t="str">
        <f aca="false">IFERROR(INDEX(Mills!$J$5:$J$45,MATCH($B63,Mills!$A$5:$A$45,0)),"")</f>
        <v/>
      </c>
      <c r="I63" s="17" t="str">
        <f aca="false">IFERROR($E63*$H63,"")</f>
        <v/>
      </c>
      <c r="J63" s="14"/>
    </row>
    <row r="64" customFormat="false" ht="15" hidden="false" customHeight="false" outlineLevel="0" collapsed="false">
      <c r="A64" s="14"/>
      <c r="B64" s="14"/>
      <c r="C64" s="14"/>
      <c r="D64" s="14"/>
      <c r="E64" s="22"/>
      <c r="F64" s="14"/>
      <c r="G64" s="14"/>
      <c r="H64" s="17" t="str">
        <f aca="false">IFERROR(INDEX(Mills!$J$5:$J$45,MATCH($B64,Mills!$A$5:$A$45,0)),"")</f>
        <v/>
      </c>
      <c r="I64" s="17" t="str">
        <f aca="false">IFERROR($E64*$H64,"")</f>
        <v/>
      </c>
      <c r="J64" s="14"/>
    </row>
    <row r="65" customFormat="false" ht="15" hidden="false" customHeight="false" outlineLevel="0" collapsed="false">
      <c r="A65" s="14"/>
      <c r="B65" s="14"/>
      <c r="C65" s="14"/>
      <c r="D65" s="14"/>
      <c r="E65" s="22"/>
      <c r="F65" s="14"/>
      <c r="G65" s="14"/>
      <c r="H65" s="17" t="str">
        <f aca="false">IFERROR(INDEX(Mills!$J$5:$J$45,MATCH($B65,Mills!$A$5:$A$45,0)),"")</f>
        <v/>
      </c>
      <c r="I65" s="17" t="str">
        <f aca="false">IFERROR($E65*$H65,"")</f>
        <v/>
      </c>
      <c r="J65" s="14"/>
    </row>
    <row r="66" customFormat="false" ht="15" hidden="false" customHeight="false" outlineLevel="0" collapsed="false">
      <c r="A66" s="14"/>
      <c r="B66" s="14"/>
      <c r="C66" s="14"/>
      <c r="D66" s="14"/>
      <c r="E66" s="22"/>
      <c r="F66" s="14"/>
      <c r="G66" s="14"/>
      <c r="H66" s="17" t="str">
        <f aca="false">IFERROR(INDEX(Mills!$J$5:$J$45,MATCH($B66,Mills!$A$5:$A$45,0)),"")</f>
        <v/>
      </c>
      <c r="I66" s="17" t="str">
        <f aca="false">IFERROR($E66*$H66,"")</f>
        <v/>
      </c>
      <c r="J66" s="14"/>
    </row>
    <row r="67" customFormat="false" ht="15" hidden="false" customHeight="false" outlineLevel="0" collapsed="false">
      <c r="A67" s="14"/>
      <c r="B67" s="14"/>
      <c r="C67" s="14"/>
      <c r="D67" s="14"/>
      <c r="E67" s="22"/>
      <c r="F67" s="14"/>
      <c r="G67" s="14"/>
      <c r="H67" s="17" t="str">
        <f aca="false">IFERROR(INDEX(Mills!$J$5:$J$45,MATCH($B67,Mills!$A$5:$A$45,0)),"")</f>
        <v/>
      </c>
      <c r="I67" s="17" t="str">
        <f aca="false">IFERROR($E67*$H67,"")</f>
        <v/>
      </c>
      <c r="J67" s="14"/>
    </row>
    <row r="68" customFormat="false" ht="15" hidden="false" customHeight="false" outlineLevel="0" collapsed="false">
      <c r="A68" s="14"/>
      <c r="B68" s="14"/>
      <c r="C68" s="14"/>
      <c r="D68" s="14"/>
      <c r="E68" s="22"/>
      <c r="F68" s="14"/>
      <c r="G68" s="14"/>
      <c r="H68" s="17" t="str">
        <f aca="false">IFERROR(INDEX(Mills!$J$5:$J$45,MATCH($B68,Mills!$A$5:$A$45,0)),"")</f>
        <v/>
      </c>
      <c r="I68" s="17" t="str">
        <f aca="false">IFERROR($E68*$H68,"")</f>
        <v/>
      </c>
      <c r="J68" s="14"/>
    </row>
    <row r="69" customFormat="false" ht="15" hidden="false" customHeight="false" outlineLevel="0" collapsed="false">
      <c r="A69" s="14"/>
      <c r="B69" s="14"/>
      <c r="C69" s="14"/>
      <c r="D69" s="14"/>
      <c r="E69" s="22"/>
      <c r="F69" s="14"/>
      <c r="G69" s="14"/>
      <c r="H69" s="17" t="str">
        <f aca="false">IFERROR(INDEX(Mills!$J$5:$J$45,MATCH($B69,Mills!$A$5:$A$45,0)),"")</f>
        <v/>
      </c>
      <c r="I69" s="17" t="str">
        <f aca="false">IFERROR($E69*$H69,"")</f>
        <v/>
      </c>
      <c r="J69" s="14"/>
    </row>
    <row r="70" customFormat="false" ht="15" hidden="false" customHeight="false" outlineLevel="0" collapsed="false">
      <c r="A70" s="14"/>
      <c r="B70" s="14"/>
      <c r="C70" s="14"/>
      <c r="D70" s="14"/>
      <c r="E70" s="22"/>
      <c r="F70" s="14"/>
      <c r="G70" s="14"/>
      <c r="H70" s="17" t="str">
        <f aca="false">IFERROR(INDEX(Mills!$J$5:$J$45,MATCH($B70,Mills!$A$5:$A$45,0)),"")</f>
        <v/>
      </c>
      <c r="I70" s="17" t="str">
        <f aca="false">IFERROR($E70*$H70,"")</f>
        <v/>
      </c>
      <c r="J70" s="14"/>
    </row>
    <row r="71" customFormat="false" ht="15" hidden="false" customHeight="false" outlineLevel="0" collapsed="false">
      <c r="A71" s="14"/>
      <c r="B71" s="14"/>
      <c r="C71" s="14"/>
      <c r="D71" s="14"/>
      <c r="E71" s="22"/>
      <c r="F71" s="14"/>
      <c r="G71" s="14"/>
      <c r="H71" s="17" t="str">
        <f aca="false">IFERROR(INDEX(Mills!$J$5:$J$45,MATCH($B71,Mills!$A$5:$A$45,0)),"")</f>
        <v/>
      </c>
      <c r="I71" s="17" t="str">
        <f aca="false">IFERROR($E71*$H71,"")</f>
        <v/>
      </c>
      <c r="J71" s="14"/>
    </row>
    <row r="72" customFormat="false" ht="15" hidden="false" customHeight="false" outlineLevel="0" collapsed="false">
      <c r="A72" s="14"/>
      <c r="B72" s="14"/>
      <c r="C72" s="14"/>
      <c r="D72" s="14"/>
      <c r="E72" s="22"/>
      <c r="F72" s="14"/>
      <c r="G72" s="14"/>
      <c r="H72" s="17" t="str">
        <f aca="false">IFERROR(INDEX(Mills!$J$5:$J$45,MATCH($B72,Mills!$A$5:$A$45,0)),"")</f>
        <v/>
      </c>
      <c r="I72" s="17" t="str">
        <f aca="false">IFERROR($E72*$H72,"")</f>
        <v/>
      </c>
      <c r="J72" s="14"/>
    </row>
    <row r="73" customFormat="false" ht="15" hidden="false" customHeight="false" outlineLevel="0" collapsed="false">
      <c r="A73" s="14"/>
      <c r="B73" s="14"/>
      <c r="C73" s="14"/>
      <c r="D73" s="14"/>
      <c r="E73" s="22"/>
      <c r="F73" s="14"/>
      <c r="G73" s="14"/>
      <c r="H73" s="17" t="str">
        <f aca="false">IFERROR(INDEX(Mills!$J$5:$J$45,MATCH($B73,Mills!$A$5:$A$45,0)),"")</f>
        <v/>
      </c>
      <c r="I73" s="17" t="str">
        <f aca="false">IFERROR($E73*$H73,"")</f>
        <v/>
      </c>
      <c r="J73" s="14"/>
    </row>
    <row r="74" customFormat="false" ht="15" hidden="false" customHeight="false" outlineLevel="0" collapsed="false">
      <c r="A74" s="14"/>
      <c r="B74" s="14"/>
      <c r="C74" s="14"/>
      <c r="D74" s="14"/>
      <c r="E74" s="22"/>
      <c r="F74" s="14"/>
      <c r="G74" s="14"/>
      <c r="H74" s="17" t="str">
        <f aca="false">IFERROR(INDEX(Mills!$J$5:$J$45,MATCH($B74,Mills!$A$5:$A$45,0)),"")</f>
        <v/>
      </c>
      <c r="I74" s="17" t="str">
        <f aca="false">IFERROR($E74*$H74,"")</f>
        <v/>
      </c>
      <c r="J74" s="14"/>
    </row>
    <row r="75" customFormat="false" ht="15" hidden="false" customHeight="false" outlineLevel="0" collapsed="false">
      <c r="A75" s="14"/>
      <c r="B75" s="14"/>
      <c r="C75" s="14"/>
      <c r="D75" s="14"/>
      <c r="E75" s="22"/>
      <c r="F75" s="14"/>
      <c r="G75" s="14"/>
      <c r="H75" s="17" t="str">
        <f aca="false">IFERROR(INDEX(Mills!$J$5:$J$45,MATCH($B75,Mills!$A$5:$A$45,0)),"")</f>
        <v/>
      </c>
      <c r="I75" s="17" t="str">
        <f aca="false">IFERROR($E75*$H75,"")</f>
        <v/>
      </c>
      <c r="J75" s="14"/>
    </row>
    <row r="76" customFormat="false" ht="15" hidden="false" customHeight="false" outlineLevel="0" collapsed="false">
      <c r="A76" s="14"/>
      <c r="B76" s="14"/>
      <c r="C76" s="14"/>
      <c r="D76" s="14"/>
      <c r="E76" s="22"/>
      <c r="F76" s="14"/>
      <c r="G76" s="14"/>
      <c r="H76" s="17" t="str">
        <f aca="false">IFERROR(INDEX(Mills!$J$5:$J$45,MATCH($B76,Mills!$A$5:$A$45,0)),"")</f>
        <v/>
      </c>
      <c r="I76" s="17" t="str">
        <f aca="false">IFERROR($E76*$H76,"")</f>
        <v/>
      </c>
      <c r="J76" s="14"/>
    </row>
    <row r="77" customFormat="false" ht="15" hidden="false" customHeight="false" outlineLevel="0" collapsed="false">
      <c r="A77" s="14"/>
      <c r="B77" s="14"/>
      <c r="C77" s="14"/>
      <c r="D77" s="14"/>
      <c r="E77" s="22"/>
      <c r="F77" s="14"/>
      <c r="G77" s="14"/>
      <c r="H77" s="17" t="str">
        <f aca="false">IFERROR(INDEX(Mills!$J$5:$J$45,MATCH($B77,Mills!$A$5:$A$45,0)),"")</f>
        <v/>
      </c>
      <c r="I77" s="17" t="str">
        <f aca="false">IFERROR($E77*$H77,"")</f>
        <v/>
      </c>
      <c r="J77" s="14"/>
    </row>
    <row r="78" customFormat="false" ht="15" hidden="false" customHeight="false" outlineLevel="0" collapsed="false">
      <c r="A78" s="14"/>
      <c r="B78" s="14"/>
      <c r="C78" s="14"/>
      <c r="D78" s="14"/>
      <c r="E78" s="22"/>
      <c r="F78" s="14"/>
      <c r="G78" s="14"/>
      <c r="H78" s="17" t="str">
        <f aca="false">IFERROR(INDEX(Mills!$J$5:$J$45,MATCH($B78,Mills!$A$5:$A$45,0)),"")</f>
        <v/>
      </c>
      <c r="I78" s="17" t="str">
        <f aca="false">IFERROR($E78*$H78,"")</f>
        <v/>
      </c>
      <c r="J78" s="14"/>
    </row>
    <row r="79" customFormat="false" ht="15" hidden="false" customHeight="false" outlineLevel="0" collapsed="false">
      <c r="A79" s="14"/>
      <c r="B79" s="14"/>
      <c r="C79" s="14"/>
      <c r="D79" s="14"/>
      <c r="E79" s="22"/>
      <c r="F79" s="14"/>
      <c r="G79" s="14"/>
      <c r="H79" s="17" t="str">
        <f aca="false">IFERROR(INDEX(Mills!$J$5:$J$45,MATCH($B79,Mills!$A$5:$A$45,0)),"")</f>
        <v/>
      </c>
      <c r="I79" s="17" t="str">
        <f aca="false">IFERROR($E79*$H79,"")</f>
        <v/>
      </c>
      <c r="J79" s="14"/>
    </row>
    <row r="80" customFormat="false" ht="15" hidden="false" customHeight="false" outlineLevel="0" collapsed="false">
      <c r="A80" s="14"/>
      <c r="B80" s="14"/>
      <c r="C80" s="14"/>
      <c r="D80" s="14"/>
      <c r="E80" s="22"/>
      <c r="F80" s="14"/>
      <c r="G80" s="14"/>
      <c r="H80" s="17" t="str">
        <f aca="false">IFERROR(INDEX(Mills!$J$5:$J$45,MATCH($B80,Mills!$A$5:$A$45,0)),"")</f>
        <v/>
      </c>
      <c r="I80" s="17" t="str">
        <f aca="false">IFERROR($E80*$H80,"")</f>
        <v/>
      </c>
      <c r="J80" s="14"/>
    </row>
    <row r="81" customFormat="false" ht="15" hidden="false" customHeight="false" outlineLevel="0" collapsed="false">
      <c r="A81" s="14"/>
      <c r="B81" s="14"/>
      <c r="C81" s="14"/>
      <c r="D81" s="14"/>
      <c r="E81" s="22"/>
      <c r="F81" s="14"/>
      <c r="G81" s="14"/>
      <c r="H81" s="17" t="str">
        <f aca="false">IFERROR(INDEX(Mills!$J$5:$J$45,MATCH($B81,Mills!$A$5:$A$45,0)),"")</f>
        <v/>
      </c>
      <c r="I81" s="17" t="str">
        <f aca="false">IFERROR($E81*$H81,"")</f>
        <v/>
      </c>
      <c r="J81" s="14"/>
    </row>
    <row r="82" customFormat="false" ht="15" hidden="false" customHeight="false" outlineLevel="0" collapsed="false">
      <c r="A82" s="14"/>
      <c r="B82" s="14"/>
      <c r="C82" s="14"/>
      <c r="D82" s="14"/>
      <c r="E82" s="22"/>
      <c r="F82" s="14"/>
      <c r="G82" s="14"/>
      <c r="H82" s="17" t="str">
        <f aca="false">IFERROR(INDEX(Mills!$J$5:$J$45,MATCH($B82,Mills!$A$5:$A$45,0)),"")</f>
        <v/>
      </c>
      <c r="I82" s="17" t="str">
        <f aca="false">IFERROR($E82*$H82,"")</f>
        <v/>
      </c>
      <c r="J82" s="14"/>
    </row>
    <row r="83" customFormat="false" ht="15" hidden="false" customHeight="false" outlineLevel="0" collapsed="false">
      <c r="A83" s="14"/>
      <c r="B83" s="14"/>
      <c r="C83" s="14"/>
      <c r="D83" s="14"/>
      <c r="E83" s="22"/>
      <c r="F83" s="14"/>
      <c r="G83" s="14"/>
      <c r="H83" s="17" t="str">
        <f aca="false">IFERROR(INDEX(Mills!$J$5:$J$45,MATCH($B83,Mills!$A$5:$A$45,0)),"")</f>
        <v/>
      </c>
      <c r="I83" s="17" t="str">
        <f aca="false">IFERROR($E83*$H83,"")</f>
        <v/>
      </c>
      <c r="J83" s="14"/>
    </row>
    <row r="84" customFormat="false" ht="15" hidden="false" customHeight="false" outlineLevel="0" collapsed="false">
      <c r="A84" s="14"/>
      <c r="B84" s="14"/>
      <c r="C84" s="14"/>
      <c r="D84" s="14"/>
      <c r="E84" s="22"/>
      <c r="F84" s="14"/>
      <c r="G84" s="14"/>
      <c r="H84" s="17" t="str">
        <f aca="false">IFERROR(INDEX(Mills!$J$5:$J$45,MATCH($B84,Mills!$A$5:$A$45,0)),"")</f>
        <v/>
      </c>
      <c r="I84" s="17" t="str">
        <f aca="false">IFERROR($E84*$H84,"")</f>
        <v/>
      </c>
      <c r="J84" s="14"/>
    </row>
    <row r="85" customFormat="false" ht="15" hidden="false" customHeight="false" outlineLevel="0" collapsed="false">
      <c r="A85" s="14"/>
      <c r="B85" s="14"/>
      <c r="C85" s="14"/>
      <c r="D85" s="14"/>
      <c r="E85" s="22"/>
      <c r="F85" s="14"/>
      <c r="G85" s="14"/>
      <c r="H85" s="17" t="str">
        <f aca="false">IFERROR(INDEX(Mills!$J$5:$J$45,MATCH($B85,Mills!$A$5:$A$45,0)),"")</f>
        <v/>
      </c>
      <c r="I85" s="17" t="str">
        <f aca="false">IFERROR($E85*$H85,"")</f>
        <v/>
      </c>
      <c r="J85" s="14"/>
    </row>
    <row r="87" customFormat="false" ht="15" hidden="false" customHeight="false" outlineLevel="0" collapsed="false">
      <c r="A87" s="2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24"/>
    <col collapsed="false" customWidth="true" hidden="false" outlineLevel="0" max="5" min="5" style="0" width="14"/>
  </cols>
  <sheetData>
    <row r="1" customFormat="false" ht="16.15" hidden="false" customHeight="false" outlineLevel="0" collapsed="false">
      <c r="A1" s="1" t="s">
        <v>74</v>
      </c>
    </row>
    <row r="2" customFormat="false" ht="15" hidden="false" customHeight="false" outlineLevel="0" collapsed="false">
      <c r="A2" s="2" t="s">
        <v>75</v>
      </c>
    </row>
    <row r="4" customFormat="false" ht="15" hidden="false" customHeight="false" outlineLevel="0" collapsed="false">
      <c r="A4" s="5" t="s">
        <v>76</v>
      </c>
      <c r="B4" s="23"/>
    </row>
    <row r="5" customFormat="false" ht="15" hidden="false" customHeight="false" outlineLevel="0" collapsed="false">
      <c r="A5" s="3" t="s">
        <v>77</v>
      </c>
      <c r="B5" s="24" t="n">
        <v>100</v>
      </c>
    </row>
    <row r="6" customFormat="false" ht="15" hidden="false" customHeight="false" outlineLevel="0" collapsed="false">
      <c r="A6" s="3" t="s">
        <v>78</v>
      </c>
      <c r="B6" s="24" t="n">
        <v>40</v>
      </c>
    </row>
    <row r="7" customFormat="false" ht="15" hidden="false" customHeight="false" outlineLevel="0" collapsed="false">
      <c r="A7" s="2" t="s">
        <v>79</v>
      </c>
    </row>
    <row r="9" customFormat="false" ht="30" hidden="false" customHeight="true" outlineLevel="0" collapsed="false">
      <c r="A9" s="9" t="s">
        <v>64</v>
      </c>
      <c r="B9" s="9" t="s">
        <v>37</v>
      </c>
      <c r="C9" s="9" t="s">
        <v>80</v>
      </c>
      <c r="D9" s="9" t="s">
        <v>68</v>
      </c>
      <c r="E9" s="9" t="s">
        <v>81</v>
      </c>
    </row>
    <row r="10" customFormat="false" ht="15" hidden="false" customHeight="false" outlineLevel="0" collapsed="false">
      <c r="A10" s="10" t="s">
        <v>53</v>
      </c>
      <c r="B10" s="10" t="s">
        <v>52</v>
      </c>
      <c r="C10" s="25" t="n">
        <f aca="false">COUNTIFS(Catchment!$D$5:$D$85,$A10)</f>
        <v>1</v>
      </c>
      <c r="D10" s="17" t="n">
        <f aca="false">IFERROR(SUMIFS(Catchment!$I$5:$I$85,Catchment!$D$5:$D$85,$A10),"")</f>
        <v>86.7</v>
      </c>
      <c r="E10" s="25" t="str">
        <f aca="false">IF($A10="","",IF($D10&gt;=$B$5,"HIGH",IF($D10&gt;=$B$6,"MEDIUM","LOW")))</f>
        <v>MEDIUM</v>
      </c>
    </row>
    <row r="11" customFormat="false" ht="15" hidden="false" customHeight="false" outlineLevel="0" collapsed="false">
      <c r="A11" s="14"/>
      <c r="B11" s="14"/>
      <c r="C11" s="25" t="n">
        <f aca="false">COUNTIFS(Catchment!$D$5:$D$85,$A11)</f>
        <v>0</v>
      </c>
      <c r="D11" s="17" t="n">
        <f aca="false">IFERROR(SUMIFS(Catchment!$I$5:$I$85,Catchment!$D$5:$D$85,$A11),"")</f>
        <v>0</v>
      </c>
      <c r="E11" s="25" t="str">
        <f aca="false">IF($A11="","",IF($D11&gt;=$B$5,"HIGH",IF($D11&gt;=$B$6,"MEDIUM","LOW")))</f>
        <v/>
      </c>
    </row>
    <row r="12" customFormat="false" ht="15" hidden="false" customHeight="false" outlineLevel="0" collapsed="false">
      <c r="A12" s="14"/>
      <c r="B12" s="14"/>
      <c r="C12" s="25" t="n">
        <f aca="false">COUNTIFS(Catchment!$D$5:$D$85,$A12)</f>
        <v>0</v>
      </c>
      <c r="D12" s="17" t="n">
        <f aca="false">IFERROR(SUMIFS(Catchment!$I$5:$I$85,Catchment!$D$5:$D$85,$A12),"")</f>
        <v>0</v>
      </c>
      <c r="E12" s="25" t="str">
        <f aca="false">IF($A12="","",IF($D12&gt;=$B$5,"HIGH",IF($D12&gt;=$B$6,"MEDIUM","LOW")))</f>
        <v/>
      </c>
    </row>
    <row r="13" customFormat="false" ht="15" hidden="false" customHeight="false" outlineLevel="0" collapsed="false">
      <c r="A13" s="14"/>
      <c r="B13" s="14"/>
      <c r="C13" s="25" t="n">
        <f aca="false">COUNTIFS(Catchment!$D$5:$D$85,$A13)</f>
        <v>0</v>
      </c>
      <c r="D13" s="17" t="n">
        <f aca="false">IFERROR(SUMIFS(Catchment!$I$5:$I$85,Catchment!$D$5:$D$85,$A13),"")</f>
        <v>0</v>
      </c>
      <c r="E13" s="25" t="str">
        <f aca="false">IF($A13="","",IF($D13&gt;=$B$5,"HIGH",IF($D13&gt;=$B$6,"MEDIUM","LOW")))</f>
        <v/>
      </c>
    </row>
    <row r="14" customFormat="false" ht="15" hidden="false" customHeight="false" outlineLevel="0" collapsed="false">
      <c r="A14" s="14"/>
      <c r="B14" s="14"/>
      <c r="C14" s="25" t="n">
        <f aca="false">COUNTIFS(Catchment!$D$5:$D$85,$A14)</f>
        <v>0</v>
      </c>
      <c r="D14" s="17" t="n">
        <f aca="false">IFERROR(SUMIFS(Catchment!$I$5:$I$85,Catchment!$D$5:$D$85,$A14),"")</f>
        <v>0</v>
      </c>
      <c r="E14" s="25" t="str">
        <f aca="false">IF($A14="","",IF($D14&gt;=$B$5,"HIGH",IF($D14&gt;=$B$6,"MEDIUM","LOW")))</f>
        <v/>
      </c>
    </row>
    <row r="15" customFormat="false" ht="15" hidden="false" customHeight="false" outlineLevel="0" collapsed="false">
      <c r="A15" s="14"/>
      <c r="B15" s="14"/>
      <c r="C15" s="25" t="n">
        <f aca="false">COUNTIFS(Catchment!$D$5:$D$85,$A15)</f>
        <v>0</v>
      </c>
      <c r="D15" s="17" t="n">
        <f aca="false">IFERROR(SUMIFS(Catchment!$I$5:$I$85,Catchment!$D$5:$D$85,$A15),"")</f>
        <v>0</v>
      </c>
      <c r="E15" s="25" t="str">
        <f aca="false">IF($A15="","",IF($D15&gt;=$B$5,"HIGH",IF($D15&gt;=$B$6,"MEDIUM","LOW")))</f>
        <v/>
      </c>
    </row>
    <row r="16" customFormat="false" ht="15" hidden="false" customHeight="false" outlineLevel="0" collapsed="false">
      <c r="A16" s="14"/>
      <c r="B16" s="14"/>
      <c r="C16" s="25" t="n">
        <f aca="false">COUNTIFS(Catchment!$D$5:$D$85,$A16)</f>
        <v>0</v>
      </c>
      <c r="D16" s="17" t="n">
        <f aca="false">IFERROR(SUMIFS(Catchment!$I$5:$I$85,Catchment!$D$5:$D$85,$A16),"")</f>
        <v>0</v>
      </c>
      <c r="E16" s="25" t="str">
        <f aca="false">IF($A16="","",IF($D16&gt;=$B$5,"HIGH",IF($D16&gt;=$B$6,"MEDIUM","LOW")))</f>
        <v/>
      </c>
    </row>
    <row r="17" customFormat="false" ht="15" hidden="false" customHeight="false" outlineLevel="0" collapsed="false">
      <c r="A17" s="14"/>
      <c r="B17" s="14"/>
      <c r="C17" s="25" t="n">
        <f aca="false">COUNTIFS(Catchment!$D$5:$D$85,$A17)</f>
        <v>0</v>
      </c>
      <c r="D17" s="17" t="n">
        <f aca="false">IFERROR(SUMIFS(Catchment!$I$5:$I$85,Catchment!$D$5:$D$85,$A17),"")</f>
        <v>0</v>
      </c>
      <c r="E17" s="25" t="str">
        <f aca="false">IF($A17="","",IF($D17&gt;=$B$5,"HIGH",IF($D17&gt;=$B$6,"MEDIUM","LOW")))</f>
        <v/>
      </c>
    </row>
    <row r="18" customFormat="false" ht="15" hidden="false" customHeight="false" outlineLevel="0" collapsed="false">
      <c r="A18" s="14"/>
      <c r="B18" s="14"/>
      <c r="C18" s="25" t="n">
        <f aca="false">COUNTIFS(Catchment!$D$5:$D$85,$A18)</f>
        <v>0</v>
      </c>
      <c r="D18" s="17" t="n">
        <f aca="false">IFERROR(SUMIFS(Catchment!$I$5:$I$85,Catchment!$D$5:$D$85,$A18),"")</f>
        <v>0</v>
      </c>
      <c r="E18" s="25" t="str">
        <f aca="false">IF($A18="","",IF($D18&gt;=$B$5,"HIGH",IF($D18&gt;=$B$6,"MEDIUM","LOW")))</f>
        <v/>
      </c>
    </row>
    <row r="19" customFormat="false" ht="15" hidden="false" customHeight="false" outlineLevel="0" collapsed="false">
      <c r="A19" s="14"/>
      <c r="B19" s="14"/>
      <c r="C19" s="25" t="n">
        <f aca="false">COUNTIFS(Catchment!$D$5:$D$85,$A19)</f>
        <v>0</v>
      </c>
      <c r="D19" s="17" t="n">
        <f aca="false">IFERROR(SUMIFS(Catchment!$I$5:$I$85,Catchment!$D$5:$D$85,$A19),"")</f>
        <v>0</v>
      </c>
      <c r="E19" s="25" t="str">
        <f aca="false">IF($A19="","",IF($D19&gt;=$B$5,"HIGH",IF($D19&gt;=$B$6,"MEDIUM","LOW")))</f>
        <v/>
      </c>
    </row>
    <row r="20" customFormat="false" ht="15" hidden="false" customHeight="false" outlineLevel="0" collapsed="false">
      <c r="A20" s="14"/>
      <c r="B20" s="14"/>
      <c r="C20" s="25" t="n">
        <f aca="false">COUNTIFS(Catchment!$D$5:$D$85,$A20)</f>
        <v>0</v>
      </c>
      <c r="D20" s="17" t="n">
        <f aca="false">IFERROR(SUMIFS(Catchment!$I$5:$I$85,Catchment!$D$5:$D$85,$A20),"")</f>
        <v>0</v>
      </c>
      <c r="E20" s="25" t="str">
        <f aca="false">IF($A20="","",IF($D20&gt;=$B$5,"HIGH",IF($D20&gt;=$B$6,"MEDIUM","LOW")))</f>
        <v/>
      </c>
    </row>
    <row r="21" customFormat="false" ht="15" hidden="false" customHeight="false" outlineLevel="0" collapsed="false">
      <c r="A21" s="14"/>
      <c r="B21" s="14"/>
      <c r="C21" s="25" t="n">
        <f aca="false">COUNTIFS(Catchment!$D$5:$D$85,$A21)</f>
        <v>0</v>
      </c>
      <c r="D21" s="17" t="n">
        <f aca="false">IFERROR(SUMIFS(Catchment!$I$5:$I$85,Catchment!$D$5:$D$85,$A21),"")</f>
        <v>0</v>
      </c>
      <c r="E21" s="25" t="str">
        <f aca="false">IF($A21="","",IF($D21&gt;=$B$5,"HIGH",IF($D21&gt;=$B$6,"MEDIUM","LOW")))</f>
        <v/>
      </c>
    </row>
    <row r="22" customFormat="false" ht="15" hidden="false" customHeight="false" outlineLevel="0" collapsed="false">
      <c r="A22" s="14"/>
      <c r="B22" s="14"/>
      <c r="C22" s="25" t="n">
        <f aca="false">COUNTIFS(Catchment!$D$5:$D$85,$A22)</f>
        <v>0</v>
      </c>
      <c r="D22" s="17" t="n">
        <f aca="false">IFERROR(SUMIFS(Catchment!$I$5:$I$85,Catchment!$D$5:$D$85,$A22),"")</f>
        <v>0</v>
      </c>
      <c r="E22" s="25" t="str">
        <f aca="false">IF($A22="","",IF($D22&gt;=$B$5,"HIGH",IF($D22&gt;=$B$6,"MEDIUM","LOW")))</f>
        <v/>
      </c>
    </row>
    <row r="23" customFormat="false" ht="15" hidden="false" customHeight="false" outlineLevel="0" collapsed="false">
      <c r="A23" s="14"/>
      <c r="B23" s="14"/>
      <c r="C23" s="25" t="n">
        <f aca="false">COUNTIFS(Catchment!$D$5:$D$85,$A23)</f>
        <v>0</v>
      </c>
      <c r="D23" s="17" t="n">
        <f aca="false">IFERROR(SUMIFS(Catchment!$I$5:$I$85,Catchment!$D$5:$D$85,$A23),"")</f>
        <v>0</v>
      </c>
      <c r="E23" s="25" t="str">
        <f aca="false">IF($A23="","",IF($D23&gt;=$B$5,"HIGH",IF($D23&gt;=$B$6,"MEDIUM","LOW")))</f>
        <v/>
      </c>
    </row>
    <row r="24" customFormat="false" ht="15" hidden="false" customHeight="false" outlineLevel="0" collapsed="false">
      <c r="A24" s="14"/>
      <c r="B24" s="14"/>
      <c r="C24" s="25" t="n">
        <f aca="false">COUNTIFS(Catchment!$D$5:$D$85,$A24)</f>
        <v>0</v>
      </c>
      <c r="D24" s="17" t="n">
        <f aca="false">IFERROR(SUMIFS(Catchment!$I$5:$I$85,Catchment!$D$5:$D$85,$A24),"")</f>
        <v>0</v>
      </c>
      <c r="E24" s="25" t="str">
        <f aca="false">IF($A24="","",IF($D24&gt;=$B$5,"HIGH",IF($D24&gt;=$B$6,"MEDIUM","LOW")))</f>
        <v/>
      </c>
    </row>
    <row r="25" customFormat="false" ht="15" hidden="false" customHeight="false" outlineLevel="0" collapsed="false">
      <c r="A25" s="14"/>
      <c r="B25" s="14"/>
      <c r="C25" s="25" t="n">
        <f aca="false">COUNTIFS(Catchment!$D$5:$D$85,$A25)</f>
        <v>0</v>
      </c>
      <c r="D25" s="17" t="n">
        <f aca="false">IFERROR(SUMIFS(Catchment!$I$5:$I$85,Catchment!$D$5:$D$85,$A25),"")</f>
        <v>0</v>
      </c>
      <c r="E25" s="25" t="str">
        <f aca="false">IF($A25="","",IF($D25&gt;=$B$5,"HIGH",IF($D25&gt;=$B$6,"MEDIUM","LOW")))</f>
        <v/>
      </c>
    </row>
    <row r="26" customFormat="false" ht="15" hidden="false" customHeight="false" outlineLevel="0" collapsed="false">
      <c r="A26" s="14"/>
      <c r="B26" s="14"/>
      <c r="C26" s="25" t="n">
        <f aca="false">COUNTIFS(Catchment!$D$5:$D$85,$A26)</f>
        <v>0</v>
      </c>
      <c r="D26" s="17" t="n">
        <f aca="false">IFERROR(SUMIFS(Catchment!$I$5:$I$85,Catchment!$D$5:$D$85,$A26),"")</f>
        <v>0</v>
      </c>
      <c r="E26" s="25" t="str">
        <f aca="false">IF($A26="","",IF($D26&gt;=$B$5,"HIGH",IF($D26&gt;=$B$6,"MEDIUM","LOW")))</f>
        <v/>
      </c>
    </row>
    <row r="27" customFormat="false" ht="15" hidden="false" customHeight="false" outlineLevel="0" collapsed="false">
      <c r="A27" s="14"/>
      <c r="B27" s="14"/>
      <c r="C27" s="25" t="n">
        <f aca="false">COUNTIFS(Catchment!$D$5:$D$85,$A27)</f>
        <v>0</v>
      </c>
      <c r="D27" s="17" t="n">
        <f aca="false">IFERROR(SUMIFS(Catchment!$I$5:$I$85,Catchment!$D$5:$D$85,$A27),"")</f>
        <v>0</v>
      </c>
      <c r="E27" s="25" t="str">
        <f aca="false">IF($A27="","",IF($D27&gt;=$B$5,"HIGH",IF($D27&gt;=$B$6,"MEDIUM","LOW")))</f>
        <v/>
      </c>
    </row>
    <row r="28" customFormat="false" ht="15" hidden="false" customHeight="false" outlineLevel="0" collapsed="false">
      <c r="A28" s="14"/>
      <c r="B28" s="14"/>
      <c r="C28" s="25" t="n">
        <f aca="false">COUNTIFS(Catchment!$D$5:$D$85,$A28)</f>
        <v>0</v>
      </c>
      <c r="D28" s="17" t="n">
        <f aca="false">IFERROR(SUMIFS(Catchment!$I$5:$I$85,Catchment!$D$5:$D$85,$A28),"")</f>
        <v>0</v>
      </c>
      <c r="E28" s="25" t="str">
        <f aca="false">IF($A28="","",IF($D28&gt;=$B$5,"HIGH",IF($D28&gt;=$B$6,"MEDIUM","LOW")))</f>
        <v/>
      </c>
    </row>
    <row r="29" customFormat="false" ht="15" hidden="false" customHeight="false" outlineLevel="0" collapsed="false">
      <c r="A29" s="14"/>
      <c r="B29" s="14"/>
      <c r="C29" s="25" t="n">
        <f aca="false">COUNTIFS(Catchment!$D$5:$D$85,$A29)</f>
        <v>0</v>
      </c>
      <c r="D29" s="17" t="n">
        <f aca="false">IFERROR(SUMIFS(Catchment!$I$5:$I$85,Catchment!$D$5:$D$85,$A29),"")</f>
        <v>0</v>
      </c>
      <c r="E29" s="25" t="str">
        <f aca="false">IF($A29="","",IF($D29&gt;=$B$5,"HIGH",IF($D29&gt;=$B$6,"MEDIUM","LOW")))</f>
        <v/>
      </c>
    </row>
    <row r="30" customFormat="false" ht="15" hidden="false" customHeight="false" outlineLevel="0" collapsed="false">
      <c r="A30" s="14"/>
      <c r="B30" s="14"/>
      <c r="C30" s="25" t="n">
        <f aca="false">COUNTIFS(Catchment!$D$5:$D$85,$A30)</f>
        <v>0</v>
      </c>
      <c r="D30" s="17" t="n">
        <f aca="false">IFERROR(SUMIFS(Catchment!$I$5:$I$85,Catchment!$D$5:$D$85,$A30),"")</f>
        <v>0</v>
      </c>
      <c r="E30" s="25" t="str">
        <f aca="false">IF($A30="","",IF($D30&gt;=$B$5,"HIGH",IF($D30&gt;=$B$6,"MEDIUM","LOW")))</f>
        <v/>
      </c>
    </row>
    <row r="31" customFormat="false" ht="15" hidden="false" customHeight="false" outlineLevel="0" collapsed="false">
      <c r="A31" s="14"/>
      <c r="B31" s="14"/>
      <c r="C31" s="25" t="n">
        <f aca="false">COUNTIFS(Catchment!$D$5:$D$85,$A31)</f>
        <v>0</v>
      </c>
      <c r="D31" s="17" t="n">
        <f aca="false">IFERROR(SUMIFS(Catchment!$I$5:$I$85,Catchment!$D$5:$D$85,$A31),"")</f>
        <v>0</v>
      </c>
      <c r="E31" s="25" t="str">
        <f aca="false">IF($A31="","",IF($D31&gt;=$B$5,"HIGH",IF($D31&gt;=$B$6,"MEDIUM","LOW")))</f>
        <v/>
      </c>
    </row>
    <row r="32" customFormat="false" ht="15" hidden="false" customHeight="false" outlineLevel="0" collapsed="false">
      <c r="A32" s="14"/>
      <c r="B32" s="14"/>
      <c r="C32" s="25" t="n">
        <f aca="false">COUNTIFS(Catchment!$D$5:$D$85,$A32)</f>
        <v>0</v>
      </c>
      <c r="D32" s="17" t="n">
        <f aca="false">IFERROR(SUMIFS(Catchment!$I$5:$I$85,Catchment!$D$5:$D$85,$A32),"")</f>
        <v>0</v>
      </c>
      <c r="E32" s="25" t="str">
        <f aca="false">IF($A32="","",IF($D32&gt;=$B$5,"HIGH",IF($D32&gt;=$B$6,"MEDIUM","LOW")))</f>
        <v/>
      </c>
    </row>
    <row r="33" customFormat="false" ht="15" hidden="false" customHeight="false" outlineLevel="0" collapsed="false">
      <c r="A33" s="14"/>
      <c r="B33" s="14"/>
      <c r="C33" s="25" t="n">
        <f aca="false">COUNTIFS(Catchment!$D$5:$D$85,$A33)</f>
        <v>0</v>
      </c>
      <c r="D33" s="17" t="n">
        <f aca="false">IFERROR(SUMIFS(Catchment!$I$5:$I$85,Catchment!$D$5:$D$85,$A33),"")</f>
        <v>0</v>
      </c>
      <c r="E33" s="25" t="str">
        <f aca="false">IF($A33="","",IF($D33&gt;=$B$5,"HIGH",IF($D33&gt;=$B$6,"MEDIUM","LOW")))</f>
        <v/>
      </c>
    </row>
    <row r="34" customFormat="false" ht="15" hidden="false" customHeight="false" outlineLevel="0" collapsed="false">
      <c r="A34" s="14"/>
      <c r="B34" s="14"/>
      <c r="C34" s="25" t="n">
        <f aca="false">COUNTIFS(Catchment!$D$5:$D$85,$A34)</f>
        <v>0</v>
      </c>
      <c r="D34" s="17" t="n">
        <f aca="false">IFERROR(SUMIFS(Catchment!$I$5:$I$85,Catchment!$D$5:$D$85,$A34),"")</f>
        <v>0</v>
      </c>
      <c r="E34" s="25" t="str">
        <f aca="false">IF($A34="","",IF($D34&gt;=$B$5,"HIGH",IF($D34&gt;=$B$6,"MEDIUM","LOW")))</f>
        <v/>
      </c>
    </row>
    <row r="35" customFormat="false" ht="15" hidden="false" customHeight="false" outlineLevel="0" collapsed="false">
      <c r="A35" s="14"/>
      <c r="B35" s="14"/>
      <c r="C35" s="25" t="n">
        <f aca="false">COUNTIFS(Catchment!$D$5:$D$85,$A35)</f>
        <v>0</v>
      </c>
      <c r="D35" s="17" t="n">
        <f aca="false">IFERROR(SUMIFS(Catchment!$I$5:$I$85,Catchment!$D$5:$D$85,$A35),"")</f>
        <v>0</v>
      </c>
      <c r="E35" s="25" t="str">
        <f aca="false">IF($A35="","",IF($D35&gt;=$B$5,"HIGH",IF($D35&gt;=$B$6,"MEDIUM","LOW")))</f>
        <v/>
      </c>
    </row>
    <row r="36" customFormat="false" ht="15" hidden="false" customHeight="false" outlineLevel="0" collapsed="false">
      <c r="A36" s="14"/>
      <c r="B36" s="14"/>
      <c r="C36" s="25" t="n">
        <f aca="false">COUNTIFS(Catchment!$D$5:$D$85,$A36)</f>
        <v>0</v>
      </c>
      <c r="D36" s="17" t="n">
        <f aca="false">IFERROR(SUMIFS(Catchment!$I$5:$I$85,Catchment!$D$5:$D$85,$A36),"")</f>
        <v>0</v>
      </c>
      <c r="E36" s="25" t="str">
        <f aca="false">IF($A36="","",IF($D36&gt;=$B$5,"HIGH",IF($D36&gt;=$B$6,"MEDIUM","LOW")))</f>
        <v/>
      </c>
    </row>
    <row r="37" customFormat="false" ht="15" hidden="false" customHeight="false" outlineLevel="0" collapsed="false">
      <c r="A37" s="14"/>
      <c r="B37" s="14"/>
      <c r="C37" s="25" t="n">
        <f aca="false">COUNTIFS(Catchment!$D$5:$D$85,$A37)</f>
        <v>0</v>
      </c>
      <c r="D37" s="17" t="n">
        <f aca="false">IFERROR(SUMIFS(Catchment!$I$5:$I$85,Catchment!$D$5:$D$85,$A37),"")</f>
        <v>0</v>
      </c>
      <c r="E37" s="25" t="str">
        <f aca="false">IF($A37="","",IF($D37&gt;=$B$5,"HIGH",IF($D37&gt;=$B$6,"MEDIUM","LOW")))</f>
        <v/>
      </c>
    </row>
    <row r="38" customFormat="false" ht="15" hidden="false" customHeight="false" outlineLevel="0" collapsed="false">
      <c r="A38" s="14"/>
      <c r="B38" s="14"/>
      <c r="C38" s="25" t="n">
        <f aca="false">COUNTIFS(Catchment!$D$5:$D$85,$A38)</f>
        <v>0</v>
      </c>
      <c r="D38" s="17" t="n">
        <f aca="false">IFERROR(SUMIFS(Catchment!$I$5:$I$85,Catchment!$D$5:$D$85,$A38),"")</f>
        <v>0</v>
      </c>
      <c r="E38" s="25" t="str">
        <f aca="false">IF($A38="","",IF($D38&gt;=$B$5,"HIGH",IF($D38&gt;=$B$6,"MEDIUM","LOW")))</f>
        <v/>
      </c>
    </row>
    <row r="39" customFormat="false" ht="15" hidden="false" customHeight="false" outlineLevel="0" collapsed="false">
      <c r="A39" s="14"/>
      <c r="B39" s="14"/>
      <c r="C39" s="25" t="n">
        <f aca="false">COUNTIFS(Catchment!$D$5:$D$85,$A39)</f>
        <v>0</v>
      </c>
      <c r="D39" s="17" t="n">
        <f aca="false">IFERROR(SUMIFS(Catchment!$I$5:$I$85,Catchment!$D$5:$D$85,$A39),"")</f>
        <v>0</v>
      </c>
      <c r="E39" s="25" t="str">
        <f aca="false">IF($A39="","",IF($D39&gt;=$B$5,"HIGH",IF($D39&gt;=$B$6,"MEDIUM","LOW")))</f>
        <v/>
      </c>
    </row>
    <row r="40" customFormat="false" ht="15" hidden="false" customHeight="false" outlineLevel="0" collapsed="false">
      <c r="A40" s="14"/>
      <c r="B40" s="14"/>
      <c r="C40" s="25" t="n">
        <f aca="false">COUNTIFS(Catchment!$D$5:$D$85,$A40)</f>
        <v>0</v>
      </c>
      <c r="D40" s="17" t="n">
        <f aca="false">IFERROR(SUMIFS(Catchment!$I$5:$I$85,Catchment!$D$5:$D$85,$A40),"")</f>
        <v>0</v>
      </c>
      <c r="E40" s="25" t="str">
        <f aca="false">IF($A40="","",IF($D40&gt;=$B$5,"HIGH",IF($D40&gt;=$B$6,"MEDIUM","LOW")))</f>
        <v/>
      </c>
    </row>
    <row r="41" customFormat="false" ht="15" hidden="false" customHeight="false" outlineLevel="0" collapsed="false">
      <c r="A41" s="14"/>
      <c r="B41" s="14"/>
      <c r="C41" s="25" t="n">
        <f aca="false">COUNTIFS(Catchment!$D$5:$D$85,$A41)</f>
        <v>0</v>
      </c>
      <c r="D41" s="17" t="n">
        <f aca="false">IFERROR(SUMIFS(Catchment!$I$5:$I$85,Catchment!$D$5:$D$85,$A41),"")</f>
        <v>0</v>
      </c>
      <c r="E41" s="25" t="str">
        <f aca="false">IF($A41="","",IF($D41&gt;=$B$5,"HIGH",IF($D41&gt;=$B$6,"MEDIUM","LOW")))</f>
        <v/>
      </c>
    </row>
    <row r="42" customFormat="false" ht="15" hidden="false" customHeight="false" outlineLevel="0" collapsed="false">
      <c r="A42" s="14"/>
      <c r="B42" s="14"/>
      <c r="C42" s="25" t="n">
        <f aca="false">COUNTIFS(Catchment!$D$5:$D$85,$A42)</f>
        <v>0</v>
      </c>
      <c r="D42" s="17" t="n">
        <f aca="false">IFERROR(SUMIFS(Catchment!$I$5:$I$85,Catchment!$D$5:$D$85,$A42),"")</f>
        <v>0</v>
      </c>
      <c r="E42" s="25" t="str">
        <f aca="false">IF($A42="","",IF($D42&gt;=$B$5,"HIGH",IF($D42&gt;=$B$6,"MEDIUM","LOW")))</f>
        <v/>
      </c>
    </row>
    <row r="43" customFormat="false" ht="15" hidden="false" customHeight="false" outlineLevel="0" collapsed="false">
      <c r="A43" s="14"/>
      <c r="B43" s="14"/>
      <c r="C43" s="25" t="n">
        <f aca="false">COUNTIFS(Catchment!$D$5:$D$85,$A43)</f>
        <v>0</v>
      </c>
      <c r="D43" s="17" t="n">
        <f aca="false">IFERROR(SUMIFS(Catchment!$I$5:$I$85,Catchment!$D$5:$D$85,$A43),"")</f>
        <v>0</v>
      </c>
      <c r="E43" s="25" t="str">
        <f aca="false">IF($A43="","",IF($D43&gt;=$B$5,"HIGH",IF($D43&gt;=$B$6,"MEDIUM","LOW")))</f>
        <v/>
      </c>
    </row>
    <row r="44" customFormat="false" ht="15" hidden="false" customHeight="false" outlineLevel="0" collapsed="false">
      <c r="A44" s="14"/>
      <c r="B44" s="14"/>
      <c r="C44" s="25" t="n">
        <f aca="false">COUNTIFS(Catchment!$D$5:$D$85,$A44)</f>
        <v>0</v>
      </c>
      <c r="D44" s="17" t="n">
        <f aca="false">IFERROR(SUMIFS(Catchment!$I$5:$I$85,Catchment!$D$5:$D$85,$A44),"")</f>
        <v>0</v>
      </c>
      <c r="E44" s="25" t="str">
        <f aca="false">IF($A44="","",IF($D44&gt;=$B$5,"HIGH",IF($D44&gt;=$B$6,"MEDIUM","LOW")))</f>
        <v/>
      </c>
    </row>
    <row r="45" customFormat="false" ht="15" hidden="false" customHeight="false" outlineLevel="0" collapsed="false">
      <c r="A45" s="14"/>
      <c r="B45" s="14"/>
      <c r="C45" s="25" t="n">
        <f aca="false">COUNTIFS(Catchment!$D$5:$D$85,$A45)</f>
        <v>0</v>
      </c>
      <c r="D45" s="17" t="n">
        <f aca="false">IFERROR(SUMIFS(Catchment!$I$5:$I$85,Catchment!$D$5:$D$85,$A45),"")</f>
        <v>0</v>
      </c>
      <c r="E45" s="25" t="str">
        <f aca="false">IF($A45="","",IF($D45&gt;=$B$5,"HIGH",IF($D45&gt;=$B$6,"MEDIUM","LOW")))</f>
        <v/>
      </c>
    </row>
    <row r="46" customFormat="false" ht="15" hidden="false" customHeight="false" outlineLevel="0" collapsed="false">
      <c r="A46" s="14"/>
      <c r="B46" s="14"/>
      <c r="C46" s="25" t="n">
        <f aca="false">COUNTIFS(Catchment!$D$5:$D$85,$A46)</f>
        <v>0</v>
      </c>
      <c r="D46" s="17" t="n">
        <f aca="false">IFERROR(SUMIFS(Catchment!$I$5:$I$85,Catchment!$D$5:$D$85,$A46),"")</f>
        <v>0</v>
      </c>
      <c r="E46" s="25" t="str">
        <f aca="false">IF($A46="","",IF($D46&gt;=$B$5,"HIGH",IF($D46&gt;=$B$6,"MEDIUM","LOW")))</f>
        <v/>
      </c>
    </row>
    <row r="47" customFormat="false" ht="15" hidden="false" customHeight="false" outlineLevel="0" collapsed="false">
      <c r="A47" s="14"/>
      <c r="B47" s="14"/>
      <c r="C47" s="25" t="n">
        <f aca="false">COUNTIFS(Catchment!$D$5:$D$85,$A47)</f>
        <v>0</v>
      </c>
      <c r="D47" s="17" t="n">
        <f aca="false">IFERROR(SUMIFS(Catchment!$I$5:$I$85,Catchment!$D$5:$D$85,$A47),"")</f>
        <v>0</v>
      </c>
      <c r="E47" s="25" t="str">
        <f aca="false">IF($A47="","",IF($D47&gt;=$B$5,"HIGH",IF($D47&gt;=$B$6,"MEDIUM","LOW")))</f>
        <v/>
      </c>
    </row>
    <row r="48" customFormat="false" ht="15" hidden="false" customHeight="false" outlineLevel="0" collapsed="false">
      <c r="A48" s="14"/>
      <c r="B48" s="14"/>
      <c r="C48" s="25" t="n">
        <f aca="false">COUNTIFS(Catchment!$D$5:$D$85,$A48)</f>
        <v>0</v>
      </c>
      <c r="D48" s="17" t="n">
        <f aca="false">IFERROR(SUMIFS(Catchment!$I$5:$I$85,Catchment!$D$5:$D$85,$A48),"")</f>
        <v>0</v>
      </c>
      <c r="E48" s="25" t="str">
        <f aca="false">IF($A48="","",IF($D48&gt;=$B$5,"HIGH",IF($D48&gt;=$B$6,"MEDIUM","LOW")))</f>
        <v/>
      </c>
    </row>
    <row r="49" customFormat="false" ht="15" hidden="false" customHeight="false" outlineLevel="0" collapsed="false">
      <c r="A49" s="14"/>
      <c r="B49" s="14"/>
      <c r="C49" s="25" t="n">
        <f aca="false">COUNTIFS(Catchment!$D$5:$D$85,$A49)</f>
        <v>0</v>
      </c>
      <c r="D49" s="17" t="n">
        <f aca="false">IFERROR(SUMIFS(Catchment!$I$5:$I$85,Catchment!$D$5:$D$85,$A49),"")</f>
        <v>0</v>
      </c>
      <c r="E49" s="25" t="str">
        <f aca="false">IF($A49="","",IF($D49&gt;=$B$5,"HIGH",IF($D49&gt;=$B$6,"MEDIUM","LOW")))</f>
        <v/>
      </c>
    </row>
    <row r="51" customFormat="false" ht="15" hidden="false" customHeight="false" outlineLevel="0" collapsed="false">
      <c r="A51" s="2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5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16"/>
    <col collapsed="false" customWidth="true" hidden="false" outlineLevel="0" max="9" min="9" style="0" width="24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40"/>
  </cols>
  <sheetData>
    <row r="1" customFormat="false" ht="16.15" hidden="false" customHeight="false" outlineLevel="0" collapsed="false">
      <c r="A1" s="1" t="s">
        <v>83</v>
      </c>
    </row>
    <row r="2" customFormat="false" ht="15" hidden="false" customHeight="false" outlineLevel="0" collapsed="false">
      <c r="A2" s="26" t="s">
        <v>84</v>
      </c>
    </row>
    <row r="4" customFormat="false" ht="30" hidden="false" customHeight="true" outlineLevel="0" collapsed="false">
      <c r="A4" s="9" t="s">
        <v>85</v>
      </c>
      <c r="B4" s="9" t="s">
        <v>86</v>
      </c>
      <c r="C4" s="9" t="s">
        <v>87</v>
      </c>
      <c r="D4" s="9" t="s">
        <v>64</v>
      </c>
      <c r="E4" s="9" t="s">
        <v>34</v>
      </c>
      <c r="F4" s="9" t="s">
        <v>88</v>
      </c>
      <c r="G4" s="9" t="s">
        <v>89</v>
      </c>
      <c r="H4" s="9" t="s">
        <v>90</v>
      </c>
      <c r="I4" s="9" t="s">
        <v>91</v>
      </c>
      <c r="J4" s="9" t="s">
        <v>92</v>
      </c>
      <c r="K4" s="9" t="s">
        <v>93</v>
      </c>
      <c r="L4" s="9" t="s">
        <v>48</v>
      </c>
    </row>
    <row r="5" customFormat="false" ht="15" hidden="false" customHeight="false" outlineLevel="0" collapsed="false">
      <c r="A5" s="10" t="s">
        <v>94</v>
      </c>
      <c r="B5" s="10" t="s">
        <v>95</v>
      </c>
      <c r="C5" s="10" t="s">
        <v>96</v>
      </c>
      <c r="D5" s="10" t="s">
        <v>53</v>
      </c>
      <c r="E5" s="10" t="s">
        <v>49</v>
      </c>
      <c r="F5" s="10" t="n">
        <v>5</v>
      </c>
      <c r="G5" s="10" t="s">
        <v>97</v>
      </c>
      <c r="H5" s="10" t="s">
        <v>98</v>
      </c>
      <c r="I5" s="10" t="n">
        <v>3</v>
      </c>
      <c r="J5" s="10" t="s">
        <v>99</v>
      </c>
      <c r="K5" s="10" t="s">
        <v>100</v>
      </c>
      <c r="L5" s="10" t="s">
        <v>101</v>
      </c>
    </row>
    <row r="6" customFormat="false" ht="15" hidden="false" customHeight="false" outlineLevel="0" collapsed="false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customFormat="false" ht="15" hidden="false" customHeight="false" outlineLevel="0" collapsed="false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customFormat="false" ht="15" hidden="false" customHeight="false" outlineLevel="0" collapsed="false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customFormat="false" ht="15" hidden="false" customHeight="false" outlineLevel="0" collapsed="false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</row>
    <row r="10" customFormat="false" ht="15" hidden="false" customHeight="false" outlineLevel="0" collapsed="false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</row>
    <row r="11" customFormat="false" ht="15" hidden="false" customHeight="false" outlineLevel="0" collapsed="false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</row>
    <row r="12" customFormat="false" ht="15" hidden="false" customHeight="false" outlineLevel="0" collapsed="false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</row>
    <row r="13" customFormat="false" ht="15" hidden="false" customHeight="false" outlineLevel="0" collapsed="false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</row>
    <row r="14" customFormat="false" ht="15" hidden="false" customHeight="false" outlineLevel="0" collapsed="false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customFormat="false" ht="15" hidden="false" customHeight="false" outlineLevel="0" collapsed="false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</row>
    <row r="16" customFormat="false" ht="15" hidden="false" customHeight="false" outlineLevel="0" collapsed="false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 customFormat="false" ht="15" hidden="false" customHeight="false" outlineLevel="0" collapsed="false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</row>
    <row r="18" customFormat="false" ht="15" hidden="false" customHeight="false" outlineLevel="0" collapsed="false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</row>
    <row r="19" customFormat="false" ht="15" hidden="false" customHeight="false" outlineLevel="0" collapsed="false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customFormat="false" ht="15" hidden="false" customHeight="false" outlineLevel="0" collapsed="false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 customFormat="false" ht="15" hidden="false" customHeight="false" outlineLevel="0" collapsed="false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</row>
    <row r="24" customFormat="false" ht="15" hidden="false" customHeight="false" outlineLevel="0" collapsed="false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</row>
    <row r="25" customFormat="false" ht="15" hidden="false" customHeight="false" outlineLevel="0" collapsed="false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</row>
    <row r="26" customFormat="false" ht="15" hidden="false" customHeight="false" outlineLevel="0" collapsed="false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27" customFormat="false" ht="15" hidden="false" customHeight="false" outlineLevel="0" collapsed="false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</row>
    <row r="28" customFormat="false" ht="15" hidden="false" customHeight="false" outlineLevel="0" collapsed="false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</row>
    <row r="29" customFormat="false" ht="15" hidden="false" customHeight="false" outlineLevel="0" collapsed="false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</row>
    <row r="30" customFormat="false" ht="15" hidden="false" customHeight="false" outlineLevel="0" collapsed="false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 customFormat="false" ht="15" hidden="false" customHeight="false" outlineLevel="0" collapsed="false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15" hidden="false" customHeight="false" outlineLevel="0" collapsed="false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15" hidden="false" customHeight="false" outlineLevel="0" collapsed="false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15" hidden="false" customHeight="false" outlineLevel="0" collapsed="false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15" hidden="false" customHeight="false" outlineLevel="0" collapsed="false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customFormat="false" ht="15" hidden="false" customHeight="false" outlineLevel="0" collapsed="false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  <row r="37" customFormat="false" ht="15" hidden="false" customHeight="false" outlineLevel="0" collapsed="false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</row>
    <row r="38" customFormat="false" ht="15" hidden="false" customHeight="false" outlineLevel="0" collapsed="false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</row>
    <row r="39" customFormat="false" ht="15" hidden="false" customHeight="false" outlineLevel="0" collapsed="false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</row>
    <row r="40" customFormat="false" ht="15" hidden="false" customHeight="false" outlineLevel="0" collapsed="false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</row>
    <row r="41" customFormat="false" ht="15" hidden="false" customHeight="false" outlineLevel="0" collapsed="false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</row>
    <row r="42" customFormat="false" ht="15" hidden="false" customHeight="false" outlineLevel="0" collapsed="false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</row>
    <row r="43" customFormat="false" ht="15" hidden="false" customHeight="false" outlineLevel="0" collapsed="false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</row>
    <row r="44" customFormat="false" ht="15" hidden="false" customHeight="false" outlineLevel="0" collapsed="false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</row>
    <row r="45" customFormat="false" ht="15" hidden="false" customHeight="false" outlineLevel="0" collapsed="false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</row>
    <row r="47" customFormat="false" ht="15" hidden="false" customHeight="false" outlineLevel="0" collapsed="false">
      <c r="A47" s="7" t="s">
        <v>102</v>
      </c>
    </row>
    <row r="48" customFormat="false" ht="15" hidden="false" customHeight="false" outlineLevel="0" collapsed="false">
      <c r="A48" s="3" t="s">
        <v>103</v>
      </c>
      <c r="B48" s="7" t="n">
        <f aca="false">COUNTA(A6:A45)</f>
        <v>0</v>
      </c>
    </row>
    <row r="49" customFormat="false" ht="15" hidden="false" customHeight="false" outlineLevel="0" collapsed="false">
      <c r="A49" s="3" t="s">
        <v>104</v>
      </c>
      <c r="B49" s="27" t="str">
        <f aca="false">IFERROR(MEDIAN(I6:I45),"")</f>
        <v/>
      </c>
    </row>
    <row r="50" customFormat="false" ht="15" hidden="false" customHeight="false" outlineLevel="0" collapsed="false">
      <c r="A50" s="3" t="s">
        <v>105</v>
      </c>
      <c r="B50" s="20" t="str">
        <f aca="false">IFERROR(COUNTIF(H6:H45,"Yes")/COUNTA(H6:H45),"")</f>
        <v/>
      </c>
    </row>
    <row r="52" customFormat="false" ht="15" hidden="false" customHeight="false" outlineLevel="0" collapsed="false">
      <c r="A52" s="2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26"/>
    <col collapsed="false" customWidth="true" hidden="false" outlineLevel="0" max="5" min="4" style="0" width="46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30"/>
    <col collapsed="false" customWidth="true" hidden="false" outlineLevel="0" max="9" min="9" style="0" width="24"/>
    <col collapsed="false" customWidth="true" hidden="false" outlineLevel="0" max="10" min="10" style="0" width="15"/>
    <col collapsed="false" customWidth="true" hidden="false" outlineLevel="0" max="11" min="11" style="0" width="44"/>
  </cols>
  <sheetData>
    <row r="1" customFormat="false" ht="16.15" hidden="false" customHeight="false" outlineLevel="0" collapsed="false">
      <c r="A1" s="1" t="s">
        <v>107</v>
      </c>
    </row>
    <row r="2" customFormat="false" ht="15" hidden="false" customHeight="false" outlineLevel="0" collapsed="false">
      <c r="A2" s="2" t="s">
        <v>108</v>
      </c>
    </row>
    <row r="4" customFormat="false" ht="30" hidden="false" customHeight="true" outlineLevel="0" collapsed="false">
      <c r="A4" s="9" t="s">
        <v>46</v>
      </c>
      <c r="B4" s="9" t="s">
        <v>109</v>
      </c>
      <c r="C4" s="9" t="s">
        <v>110</v>
      </c>
      <c r="D4" s="9" t="s">
        <v>111</v>
      </c>
      <c r="E4" s="9" t="s">
        <v>112</v>
      </c>
      <c r="F4" s="9" t="s">
        <v>113</v>
      </c>
      <c r="G4" s="9" t="s">
        <v>114</v>
      </c>
      <c r="H4" s="9" t="s">
        <v>115</v>
      </c>
      <c r="I4" s="9" t="s">
        <v>116</v>
      </c>
      <c r="J4" s="9" t="s">
        <v>117</v>
      </c>
      <c r="K4" s="9" t="s">
        <v>48</v>
      </c>
    </row>
    <row r="5" customFormat="false" ht="23.85" hidden="false" customHeight="false" outlineLevel="0" collapsed="false">
      <c r="A5" s="28" t="s">
        <v>56</v>
      </c>
      <c r="B5" s="28" t="s">
        <v>118</v>
      </c>
      <c r="C5" s="28" t="s">
        <v>119</v>
      </c>
      <c r="D5" s="28" t="s">
        <v>120</v>
      </c>
      <c r="E5" s="28" t="s">
        <v>121</v>
      </c>
      <c r="F5" s="28"/>
      <c r="G5" s="28"/>
      <c r="H5" s="28" t="s">
        <v>122</v>
      </c>
      <c r="I5" s="28" t="s">
        <v>123</v>
      </c>
      <c r="J5" s="28"/>
      <c r="K5" s="28" t="s">
        <v>124</v>
      </c>
    </row>
    <row r="6" customFormat="false" ht="23.85" hidden="false" customHeight="false" outlineLevel="0" collapsed="false">
      <c r="A6" s="28" t="s">
        <v>125</v>
      </c>
      <c r="B6" s="28" t="s">
        <v>126</v>
      </c>
      <c r="C6" s="28" t="s">
        <v>119</v>
      </c>
      <c r="D6" s="28" t="s">
        <v>127</v>
      </c>
      <c r="E6" s="28" t="s">
        <v>128</v>
      </c>
      <c r="F6" s="28"/>
      <c r="G6" s="28"/>
      <c r="H6" s="28" t="s">
        <v>129</v>
      </c>
      <c r="I6" s="28" t="s">
        <v>123</v>
      </c>
      <c r="J6" s="28"/>
      <c r="K6" s="28" t="s">
        <v>130</v>
      </c>
    </row>
    <row r="7" customFormat="false" ht="35.05" hidden="false" customHeight="false" outlineLevel="0" collapsed="false">
      <c r="A7" s="28" t="s">
        <v>131</v>
      </c>
      <c r="B7" s="28" t="s">
        <v>132</v>
      </c>
      <c r="C7" s="28" t="s">
        <v>133</v>
      </c>
      <c r="D7" s="28" t="s">
        <v>134</v>
      </c>
      <c r="E7" s="28" t="s">
        <v>135</v>
      </c>
      <c r="F7" s="28" t="s">
        <v>136</v>
      </c>
      <c r="G7" s="28" t="s">
        <v>137</v>
      </c>
      <c r="H7" s="28" t="s">
        <v>138</v>
      </c>
      <c r="I7" s="28" t="s">
        <v>139</v>
      </c>
      <c r="J7" s="28" t="s">
        <v>100</v>
      </c>
      <c r="K7" s="28" t="s">
        <v>140</v>
      </c>
    </row>
    <row r="8" customFormat="false" ht="23.85" hidden="false" customHeight="false" outlineLevel="0" collapsed="false">
      <c r="A8" s="28" t="s">
        <v>141</v>
      </c>
      <c r="B8" s="28" t="s">
        <v>142</v>
      </c>
      <c r="C8" s="28" t="s">
        <v>142</v>
      </c>
      <c r="D8" s="28" t="s">
        <v>143</v>
      </c>
      <c r="E8" s="28" t="s">
        <v>144</v>
      </c>
      <c r="F8" s="28"/>
      <c r="G8" s="28"/>
      <c r="H8" s="28" t="s">
        <v>138</v>
      </c>
      <c r="I8" s="28" t="s">
        <v>145</v>
      </c>
      <c r="J8" s="28"/>
      <c r="K8" s="28" t="s">
        <v>146</v>
      </c>
    </row>
    <row r="9" customFormat="false" ht="23.85" hidden="false" customHeight="false" outlineLevel="0" collapsed="false">
      <c r="A9" s="28" t="s">
        <v>147</v>
      </c>
      <c r="B9" s="28" t="s">
        <v>148</v>
      </c>
      <c r="C9" s="28" t="s">
        <v>149</v>
      </c>
      <c r="D9" s="28" t="s">
        <v>150</v>
      </c>
      <c r="E9" s="28" t="s">
        <v>151</v>
      </c>
      <c r="F9" s="28"/>
      <c r="G9" s="28"/>
      <c r="H9" s="28" t="s">
        <v>138</v>
      </c>
      <c r="I9" s="28" t="s">
        <v>152</v>
      </c>
      <c r="J9" s="28"/>
      <c r="K9" s="28" t="s">
        <v>153</v>
      </c>
    </row>
    <row r="10" customFormat="false" ht="23.85" hidden="false" customHeight="false" outlineLevel="0" collapsed="false">
      <c r="A10" s="28" t="s">
        <v>154</v>
      </c>
      <c r="B10" s="28" t="s">
        <v>155</v>
      </c>
      <c r="C10" s="28" t="s">
        <v>156</v>
      </c>
      <c r="D10" s="28" t="s">
        <v>157</v>
      </c>
      <c r="E10" s="28" t="s">
        <v>158</v>
      </c>
      <c r="F10" s="28"/>
      <c r="G10" s="28"/>
      <c r="H10" s="28" t="s">
        <v>138</v>
      </c>
      <c r="I10" s="28" t="s">
        <v>152</v>
      </c>
      <c r="J10" s="28"/>
      <c r="K10" s="28" t="s">
        <v>159</v>
      </c>
    </row>
    <row r="11" customFormat="false" ht="23.85" hidden="false" customHeight="false" outlineLevel="0" collapsed="false">
      <c r="A11" s="28" t="s">
        <v>160</v>
      </c>
      <c r="B11" s="28" t="s">
        <v>161</v>
      </c>
      <c r="C11" s="28" t="s">
        <v>162</v>
      </c>
      <c r="D11" s="28" t="s">
        <v>163</v>
      </c>
      <c r="E11" s="28" t="s">
        <v>164</v>
      </c>
      <c r="F11" s="28"/>
      <c r="G11" s="28"/>
      <c r="H11" s="28" t="s">
        <v>138</v>
      </c>
      <c r="I11" s="28" t="s">
        <v>165</v>
      </c>
      <c r="J11" s="28"/>
      <c r="K11" s="28" t="s">
        <v>166</v>
      </c>
    </row>
    <row r="12" customFormat="false" ht="23.85" hidden="false" customHeight="false" outlineLevel="0" collapsed="false">
      <c r="A12" s="28" t="s">
        <v>167</v>
      </c>
      <c r="B12" s="28" t="s">
        <v>168</v>
      </c>
      <c r="C12" s="28" t="s">
        <v>119</v>
      </c>
      <c r="D12" s="28"/>
      <c r="E12" s="28" t="s">
        <v>169</v>
      </c>
      <c r="F12" s="28"/>
      <c r="G12" s="28"/>
      <c r="H12" s="28" t="s">
        <v>170</v>
      </c>
      <c r="I12" s="28" t="s">
        <v>123</v>
      </c>
      <c r="J12" s="28"/>
      <c r="K12" s="28" t="s">
        <v>171</v>
      </c>
    </row>
    <row r="13" customFormat="false" ht="15" hidden="false" customHeight="false" outlineLevel="0" collapsed="false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4" customFormat="false" ht="15" hidden="false" customHeight="false" outlineLevel="0" collapsed="false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5" customFormat="false" ht="15" hidden="false" customHeight="false" outlineLevel="0" collapsed="false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customFormat="false" ht="15" hidden="false" customHeight="false" outlineLevel="0" collapsed="false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</row>
    <row r="17" customFormat="false" ht="15" hidden="false" customHeight="false" outlineLevel="0" collapsed="false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</row>
    <row r="18" customFormat="false" ht="15" hidden="false" customHeight="false" outlineLevel="0" collapsed="false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</row>
    <row r="19" customFormat="false" ht="15" hidden="false" customHeight="false" outlineLevel="0" collapsed="false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</row>
    <row r="20" customFormat="false" ht="15" hidden="false" customHeight="false" outlineLevel="0" collapsed="false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</row>
    <row r="23" customFormat="false" ht="15" hidden="false" customHeight="false" outlineLevel="0" collapsed="false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</row>
    <row r="24" customFormat="false" ht="15" hidden="false" customHeight="false" outlineLevel="0" collapsed="false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2026-07-30T18:39:15Z</dcterms:created>
  <dc:creator>openpyxl</dc:creator>
  <dc:description/>
  <dc:language>en-US</dc:language>
  <cp:lastModifiedBy/>
  <dcterms:modified xsi:type="dcterms:W3CDTF">2026-07-30T18:39:15Z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